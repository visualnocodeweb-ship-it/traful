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03" activeTab="1"/>
  </bookViews>
  <sheets>
    <sheet name="DEUDAS" sheetId="3" r:id="rId1"/>
    <sheet name="RETRIBUTIVOS" sheetId="1" r:id="rId2"/>
    <sheet name="COMPARTIDOS" sheetId="4" r:id="rId3"/>
    <sheet name="PATENTE 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1" l="1"/>
  <c r="Y210" i="1" l="1"/>
  <c r="X210" i="1"/>
  <c r="O203" i="1" l="1"/>
  <c r="G197" i="1"/>
  <c r="I186" i="1" l="1"/>
  <c r="I185" i="1"/>
  <c r="M188" i="1"/>
  <c r="G187" i="1"/>
  <c r="Y177" i="1" l="1"/>
  <c r="X177" i="1"/>
  <c r="W177" i="1"/>
  <c r="V177" i="1"/>
  <c r="U177" i="1"/>
  <c r="T177" i="1"/>
  <c r="X184" i="1"/>
  <c r="Y184" i="1"/>
  <c r="S183" i="1"/>
  <c r="M183" i="1"/>
  <c r="Y171" i="1"/>
  <c r="S169" i="1" l="1"/>
  <c r="S170" i="1"/>
  <c r="S163" i="1"/>
  <c r="G163" i="1"/>
  <c r="S174" i="1"/>
  <c r="W157" i="1" l="1"/>
  <c r="X157" i="1"/>
  <c r="Y157" i="1"/>
  <c r="Y159" i="1"/>
  <c r="X159" i="1"/>
  <c r="W159" i="1"/>
  <c r="V159" i="1"/>
  <c r="U159" i="1"/>
  <c r="T159" i="1"/>
  <c r="W147" i="1"/>
  <c r="X147" i="1"/>
  <c r="Y147" i="1"/>
  <c r="Y148" i="1"/>
  <c r="X148" i="1"/>
  <c r="W148" i="1"/>
  <c r="V148" i="1"/>
  <c r="U148" i="1"/>
  <c r="T148" i="1"/>
  <c r="Y136" i="1"/>
  <c r="X136" i="1"/>
  <c r="W136" i="1"/>
  <c r="V136" i="1"/>
  <c r="U136" i="1"/>
  <c r="T136" i="1"/>
  <c r="X135" i="1" l="1"/>
  <c r="Y135" i="1"/>
  <c r="Y132" i="1"/>
  <c r="X132" i="1"/>
  <c r="W132" i="1"/>
  <c r="V132" i="1"/>
  <c r="U132" i="1"/>
  <c r="T132" i="1"/>
  <c r="G131" i="1"/>
  <c r="G130" i="1"/>
  <c r="G128" i="1"/>
  <c r="G129" i="1"/>
  <c r="W121" i="1" l="1"/>
  <c r="X121" i="1"/>
  <c r="Y121" i="1"/>
  <c r="Y119" i="1"/>
  <c r="Y120" i="1"/>
  <c r="Y92" i="1" l="1"/>
  <c r="X92" i="1"/>
  <c r="W92" i="1"/>
  <c r="V92" i="1"/>
  <c r="U92" i="1"/>
  <c r="T92" i="1"/>
  <c r="X90" i="1"/>
  <c r="Y90" i="1"/>
  <c r="W90" i="1"/>
  <c r="V90" i="1"/>
  <c r="U90" i="1"/>
  <c r="T90" i="1"/>
  <c r="G108" i="1"/>
  <c r="V110" i="1" l="1"/>
  <c r="W110" i="1"/>
  <c r="X110" i="1"/>
  <c r="T104" i="1"/>
  <c r="U104" i="1"/>
  <c r="V104" i="1"/>
  <c r="W104" i="1"/>
  <c r="Y104" i="1"/>
  <c r="X104" i="1"/>
  <c r="Y110" i="1"/>
  <c r="X102" i="1" l="1"/>
  <c r="Y102" i="1"/>
  <c r="Y70" i="1" l="1"/>
  <c r="X70" i="1"/>
  <c r="W70" i="1"/>
  <c r="V70" i="1"/>
  <c r="U70" i="1"/>
  <c r="T70" i="1"/>
  <c r="X61" i="1"/>
  <c r="Y61" i="1"/>
  <c r="X63" i="1"/>
  <c r="Y63" i="1"/>
  <c r="X62" i="1"/>
  <c r="Y62" i="1"/>
  <c r="T57" i="1"/>
  <c r="U57" i="1"/>
  <c r="V57" i="1"/>
  <c r="W57" i="1"/>
  <c r="X57" i="1"/>
  <c r="Y57" i="1"/>
  <c r="S54" i="1"/>
  <c r="T6" i="1" l="1"/>
  <c r="S31" i="1" l="1"/>
  <c r="S36" i="1"/>
  <c r="W36" i="1"/>
  <c r="X36" i="1"/>
  <c r="Y36" i="1"/>
  <c r="Y42" i="1"/>
  <c r="X42" i="1"/>
  <c r="W42" i="1"/>
  <c r="S42" i="1"/>
  <c r="S43" i="1"/>
  <c r="Y43" i="1"/>
  <c r="X43" i="1"/>
  <c r="W43" i="1"/>
  <c r="S32" i="1"/>
  <c r="S40" i="1"/>
  <c r="W40" i="1"/>
  <c r="X40" i="1"/>
  <c r="Y40" i="1"/>
  <c r="S37" i="1"/>
  <c r="Y37" i="1"/>
  <c r="X37" i="1"/>
  <c r="W37" i="1"/>
  <c r="S34" i="1"/>
  <c r="Y31" i="1"/>
  <c r="X31" i="1"/>
  <c r="S30" i="1"/>
  <c r="S35" i="1"/>
  <c r="Y35" i="1"/>
  <c r="S50" i="1"/>
  <c r="O50" i="1"/>
  <c r="S45" i="1" l="1"/>
  <c r="W45" i="1"/>
  <c r="X45" i="1"/>
  <c r="Y45" i="1"/>
  <c r="S28" i="1"/>
  <c r="Y48" i="1" l="1"/>
  <c r="S48" i="1"/>
  <c r="S51" i="1"/>
  <c r="O47" i="1" l="1"/>
  <c r="P47" i="1"/>
  <c r="N47" i="1"/>
  <c r="M47" i="1"/>
  <c r="S22" i="1" l="1"/>
  <c r="S17" i="1"/>
  <c r="S20" i="1" l="1"/>
  <c r="S19" i="1"/>
  <c r="I19" i="1"/>
  <c r="Y23" i="1"/>
  <c r="X23" i="1"/>
  <c r="V23" i="1"/>
  <c r="U23" i="1"/>
  <c r="S23" i="1" s="1"/>
  <c r="S18" i="1"/>
  <c r="S11" i="1" l="1"/>
  <c r="S9" i="1"/>
  <c r="Y7" i="1"/>
  <c r="X7" i="1"/>
  <c r="W7" i="1"/>
  <c r="U7" i="1"/>
  <c r="S15" i="1"/>
  <c r="Y10" i="1"/>
  <c r="X10" i="1"/>
  <c r="W10" i="1"/>
  <c r="V10" i="1"/>
  <c r="U10" i="1"/>
  <c r="T10" i="1"/>
  <c r="S10" i="1" s="1"/>
  <c r="M14" i="1"/>
  <c r="G14" i="1"/>
  <c r="S4" i="1"/>
  <c r="S13" i="1"/>
  <c r="S3" i="1"/>
  <c r="Y6" i="1"/>
  <c r="X6" i="1"/>
  <c r="W6" i="1"/>
  <c r="V6" i="1"/>
  <c r="U6" i="1"/>
  <c r="S6" i="1"/>
  <c r="S12" i="1"/>
  <c r="Y12" i="1"/>
  <c r="I25" i="1" l="1"/>
  <c r="G25" i="1"/>
  <c r="J25" i="1"/>
  <c r="H25" i="1"/>
</calcChain>
</file>

<file path=xl/sharedStrings.xml><?xml version="1.0" encoding="utf-8"?>
<sst xmlns="http://schemas.openxmlformats.org/spreadsheetml/2006/main" count="1058" uniqueCount="760">
  <si>
    <t xml:space="preserve">LOTE </t>
  </si>
  <si>
    <t xml:space="preserve">NOMENCLATURA CATASTRAL </t>
  </si>
  <si>
    <t>CONTRIBUYENTE</t>
  </si>
  <si>
    <t>Avila Luis con Gallegos Ingrid</t>
  </si>
  <si>
    <t xml:space="preserve">MANZANA </t>
  </si>
  <si>
    <t>A</t>
  </si>
  <si>
    <t xml:space="preserve">sin mensura </t>
  </si>
  <si>
    <t xml:space="preserve">Alvarado Mirta </t>
  </si>
  <si>
    <t xml:space="preserve">Alarcon Fabiana </t>
  </si>
  <si>
    <t>7 (19A)</t>
  </si>
  <si>
    <t xml:space="preserve">Aztete Fernanda </t>
  </si>
  <si>
    <t>45 B3</t>
  </si>
  <si>
    <t>Alveal Juan</t>
  </si>
  <si>
    <t>B</t>
  </si>
  <si>
    <t xml:space="preserve">Alveal Joana </t>
  </si>
  <si>
    <t>C</t>
  </si>
  <si>
    <t xml:space="preserve">Almonacid Jonathan </t>
  </si>
  <si>
    <t>Ahumada Lorenzo Justiniano</t>
  </si>
  <si>
    <t xml:space="preserve">Almonacid Lilian </t>
  </si>
  <si>
    <t xml:space="preserve">Alarcon Ramon </t>
  </si>
  <si>
    <t>44 B</t>
  </si>
  <si>
    <t>Baisi Sucesores</t>
  </si>
  <si>
    <t>Binning Antoni</t>
  </si>
  <si>
    <t>17A</t>
  </si>
  <si>
    <t>20A</t>
  </si>
  <si>
    <t>Baez Paula</t>
  </si>
  <si>
    <t>Barria Mariano</t>
  </si>
  <si>
    <t xml:space="preserve">Butman Jorge </t>
  </si>
  <si>
    <t>31A</t>
  </si>
  <si>
    <t xml:space="preserve">Blanco Paula </t>
  </si>
  <si>
    <t>51B</t>
  </si>
  <si>
    <t>Robeda de Cambell Maria Loreto</t>
  </si>
  <si>
    <t>Ciunfrini Alfredo</t>
  </si>
  <si>
    <t>Chamorro Gloria</t>
  </si>
  <si>
    <t xml:space="preserve">Castillo Baudino </t>
  </si>
  <si>
    <t xml:space="preserve">Castillo Monica </t>
  </si>
  <si>
    <t>Curipan Juan</t>
  </si>
  <si>
    <t xml:space="preserve">Coyla Nelson </t>
  </si>
  <si>
    <t>Chamorro Benjamin</t>
  </si>
  <si>
    <t>18A</t>
  </si>
  <si>
    <t>Cuevas Lusmira</t>
  </si>
  <si>
    <t>b</t>
  </si>
  <si>
    <t>Cardenas Daiana</t>
  </si>
  <si>
    <t>Cardenas Ricardo</t>
  </si>
  <si>
    <t>Chandia Juan Carlos</t>
  </si>
  <si>
    <t xml:space="preserve">Chamorro Liliana </t>
  </si>
  <si>
    <t xml:space="preserve">Castillo Lorena </t>
  </si>
  <si>
    <t>Chamorro Jorge</t>
  </si>
  <si>
    <t>42C</t>
  </si>
  <si>
    <t>Chamorro Cesar</t>
  </si>
  <si>
    <t xml:space="preserve">Carolina Cobos </t>
  </si>
  <si>
    <t>Cuevas Ruben</t>
  </si>
  <si>
    <t>D</t>
  </si>
  <si>
    <t>Chamorro Jose/Barrientos Julia</t>
  </si>
  <si>
    <t>Cordero Eric</t>
  </si>
  <si>
    <t>31D</t>
  </si>
  <si>
    <t>Coyla Pedro</t>
  </si>
  <si>
    <t>Calfueque Griselda</t>
  </si>
  <si>
    <t>D2 La Portada</t>
  </si>
  <si>
    <t>Cuevas Marcelo/Mora Graciela</t>
  </si>
  <si>
    <t>Chandia Santiago</t>
  </si>
  <si>
    <t>Coyla Ruth</t>
  </si>
  <si>
    <t>Colipi Antonio</t>
  </si>
  <si>
    <t>Calligaris Elvio</t>
  </si>
  <si>
    <t>D5</t>
  </si>
  <si>
    <t>Cortina Jose Luis</t>
  </si>
  <si>
    <t>Datolli Geronimo</t>
  </si>
  <si>
    <t>Dodero Jose</t>
  </si>
  <si>
    <t>22B</t>
  </si>
  <si>
    <t>22D</t>
  </si>
  <si>
    <t>Dimitrovich Ramona</t>
  </si>
  <si>
    <t>Dimitrovich Rosa</t>
  </si>
  <si>
    <t>Dimitrovich Antonio</t>
  </si>
  <si>
    <t>Dominguez Juan</t>
  </si>
  <si>
    <t>45B</t>
  </si>
  <si>
    <t>Diniello Eduardo</t>
  </si>
  <si>
    <t>Dimitrovich Dionicio</t>
  </si>
  <si>
    <t>sin mensura</t>
  </si>
  <si>
    <t>Dinmitrovich Daniela</t>
  </si>
  <si>
    <t>3 (19A)</t>
  </si>
  <si>
    <t>Elorga Andrea</t>
  </si>
  <si>
    <t>Ferranti Mariana</t>
  </si>
  <si>
    <t>Figueroa Adrian</t>
  </si>
  <si>
    <t>sin mansura</t>
  </si>
  <si>
    <t xml:space="preserve">Fernandez Luis </t>
  </si>
  <si>
    <t>19B</t>
  </si>
  <si>
    <t>Fernandez Juan</t>
  </si>
  <si>
    <t>Fernandez Sara</t>
  </si>
  <si>
    <t>2 (19A)</t>
  </si>
  <si>
    <t>Fernandez Santiago/Chamorro Romina</t>
  </si>
  <si>
    <t>Fontana Roberto</t>
  </si>
  <si>
    <t>53A</t>
  </si>
  <si>
    <t>Fernandez Nora</t>
  </si>
  <si>
    <t>Discapacidad 11/2024</t>
  </si>
  <si>
    <t>Ghirardelli Gabriel</t>
  </si>
  <si>
    <t>47C</t>
  </si>
  <si>
    <t>Gresznaryk Patricia</t>
  </si>
  <si>
    <t>Guzman Raul</t>
  </si>
  <si>
    <t>1 C</t>
  </si>
  <si>
    <t>9 y 10</t>
  </si>
  <si>
    <t>Geist Gisela</t>
  </si>
  <si>
    <t>42B</t>
  </si>
  <si>
    <t>Gatica Saul</t>
  </si>
  <si>
    <t>Geist Guillermo</t>
  </si>
  <si>
    <t>D4</t>
  </si>
  <si>
    <t>Guzman Carolina/Villar Mario</t>
  </si>
  <si>
    <t>Hidrocarburo del Neuquén</t>
  </si>
  <si>
    <t>D1</t>
  </si>
  <si>
    <t>Hosmann Elena y otros</t>
  </si>
  <si>
    <t>22A</t>
  </si>
  <si>
    <t>22C</t>
  </si>
  <si>
    <t>22E</t>
  </si>
  <si>
    <t xml:space="preserve">Herrmann Ricardo </t>
  </si>
  <si>
    <t>26A</t>
  </si>
  <si>
    <t>26B</t>
  </si>
  <si>
    <t>26C</t>
  </si>
  <si>
    <t>26D</t>
  </si>
  <si>
    <t>26E</t>
  </si>
  <si>
    <t>26F</t>
  </si>
  <si>
    <t>26G</t>
  </si>
  <si>
    <t>Iturra Mabel</t>
  </si>
  <si>
    <t>Iturra Sandra</t>
  </si>
  <si>
    <t xml:space="preserve">Iturra Mariela Dina </t>
  </si>
  <si>
    <t>Huaiquipan Analía</t>
  </si>
  <si>
    <t>Iturra Ricardo</t>
  </si>
  <si>
    <t xml:space="preserve">Kalman Esteban </t>
  </si>
  <si>
    <t>Kirmayr Martin y otros</t>
  </si>
  <si>
    <t xml:space="preserve">Ketelhohn Carolina </t>
  </si>
  <si>
    <t>24B</t>
  </si>
  <si>
    <t>Joubert Monica</t>
  </si>
  <si>
    <t xml:space="preserve">Ketelhohn Damiana </t>
  </si>
  <si>
    <t>24C</t>
  </si>
  <si>
    <t xml:space="preserve">Ketelhohn Paula Maria </t>
  </si>
  <si>
    <t>24A</t>
  </si>
  <si>
    <t>Lagos Nicolas/Chavez Roxana</t>
  </si>
  <si>
    <t>18B</t>
  </si>
  <si>
    <t>Leberman Eric</t>
  </si>
  <si>
    <t>25A</t>
  </si>
  <si>
    <t>Lagos Olatte Carina</t>
  </si>
  <si>
    <t>Lagos Alfonso</t>
  </si>
  <si>
    <t>Lagos Evaristo</t>
  </si>
  <si>
    <t>Lagos Heraldo</t>
  </si>
  <si>
    <t>Longarettim Maria</t>
  </si>
  <si>
    <t>La ARAUCANA Viajes SRL</t>
  </si>
  <si>
    <t>4A</t>
  </si>
  <si>
    <t>13A</t>
  </si>
  <si>
    <t>13B</t>
  </si>
  <si>
    <t>Testani Marcos Anderson Irma</t>
  </si>
  <si>
    <t>Mendez Daniel (subdivisión)</t>
  </si>
  <si>
    <t>47A1</t>
  </si>
  <si>
    <t>47A2</t>
  </si>
  <si>
    <t>47A3</t>
  </si>
  <si>
    <t>47A4</t>
  </si>
  <si>
    <t>Menco Romualdo</t>
  </si>
  <si>
    <t>Miranda Carlos</t>
  </si>
  <si>
    <t xml:space="preserve">Muñoz Amanda </t>
  </si>
  <si>
    <t>45B3</t>
  </si>
  <si>
    <t xml:space="preserve">Mendez Viviana </t>
  </si>
  <si>
    <t>Miranda Isabel</t>
  </si>
  <si>
    <t xml:space="preserve">Novoa Elba </t>
  </si>
  <si>
    <t xml:space="preserve">Novoa Lorena </t>
  </si>
  <si>
    <t>6 (19A)</t>
  </si>
  <si>
    <t>Nicolás Juana Cecilia</t>
  </si>
  <si>
    <t>Novoa Alba Patricia</t>
  </si>
  <si>
    <t>Nicolas Cecilia</t>
  </si>
  <si>
    <t xml:space="preserve">Olatte Elvio </t>
  </si>
  <si>
    <t xml:space="preserve">Olatte Celedonio </t>
  </si>
  <si>
    <t xml:space="preserve">Ordoqui Mountain SA </t>
  </si>
  <si>
    <t>32B</t>
  </si>
  <si>
    <t>Olatte Ada</t>
  </si>
  <si>
    <t xml:space="preserve">Quelin Hermanos </t>
  </si>
  <si>
    <t>47B</t>
  </si>
  <si>
    <t xml:space="preserve">Parrili </t>
  </si>
  <si>
    <t>45B2</t>
  </si>
  <si>
    <t>Parada Sofia</t>
  </si>
  <si>
    <t>Paicil Arnoldo</t>
  </si>
  <si>
    <t xml:space="preserve">Policia de Neuquen </t>
  </si>
  <si>
    <t>4B</t>
  </si>
  <si>
    <t>Paichil Matilde</t>
  </si>
  <si>
    <t>Reising Rodolfo</t>
  </si>
  <si>
    <t>Raggio Carlos</t>
  </si>
  <si>
    <t>20B</t>
  </si>
  <si>
    <t>32A</t>
  </si>
  <si>
    <t>Silva Gabriela</t>
  </si>
  <si>
    <t xml:space="preserve">Sotolano Carolina </t>
  </si>
  <si>
    <t>49A</t>
  </si>
  <si>
    <t>35A</t>
  </si>
  <si>
    <t>6 (19B)</t>
  </si>
  <si>
    <t xml:space="preserve">Segovia Diego </t>
  </si>
  <si>
    <t xml:space="preserve">32BIS </t>
  </si>
  <si>
    <t xml:space="preserve">Sfeir Sebastian </t>
  </si>
  <si>
    <t>49B</t>
  </si>
  <si>
    <t xml:space="preserve">Sciaroni Daniel </t>
  </si>
  <si>
    <t xml:space="preserve">Terra Traful SA </t>
  </si>
  <si>
    <t>43B</t>
  </si>
  <si>
    <t>Von Der Fetch Ervin (susesores)</t>
  </si>
  <si>
    <t xml:space="preserve">Schreiber Elizabeth </t>
  </si>
  <si>
    <t>Vazquez Hugo</t>
  </si>
  <si>
    <t>Vivienda "Policia De Neuquen"</t>
  </si>
  <si>
    <t>20C3</t>
  </si>
  <si>
    <t>Walter Mauricio</t>
  </si>
  <si>
    <t>52B</t>
  </si>
  <si>
    <t>Wynne Eduardo</t>
  </si>
  <si>
    <t>Zannini Orlando</t>
  </si>
  <si>
    <t>Zegarelli Mariela Livia</t>
  </si>
  <si>
    <t>TIPO</t>
  </si>
  <si>
    <t xml:space="preserve">MARCA </t>
  </si>
  <si>
    <t>PATENTE</t>
  </si>
  <si>
    <t>KILOS</t>
  </si>
  <si>
    <t xml:space="preserve">MOTOR </t>
  </si>
  <si>
    <t>CODIGO AUT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</si>
  <si>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</si>
  <si>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</si>
  <si>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</si>
  <si>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</si>
  <si>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</si>
  <si>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</si>
  <si>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</si>
  <si>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</si>
  <si>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</si>
  <si>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</si>
  <si>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</si>
  <si>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</si>
  <si>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TOYOTA COROLLA 2,0 XLI</t>
  </si>
  <si>
    <t>SEDAN 4 P</t>
  </si>
  <si>
    <t>AR 656 HP</t>
  </si>
  <si>
    <t>MODELO</t>
  </si>
  <si>
    <t>TITULAR</t>
  </si>
  <si>
    <t>130 A59 02</t>
  </si>
  <si>
    <t xml:space="preserve">FORD RANGER XL </t>
  </si>
  <si>
    <t>PICK UP</t>
  </si>
  <si>
    <t>ISR 991</t>
  </si>
  <si>
    <t>M20AAA51969</t>
  </si>
  <si>
    <t>AJ311129</t>
  </si>
  <si>
    <t>017 19 TC</t>
  </si>
  <si>
    <t>ALARCON RAMON</t>
  </si>
  <si>
    <t>5 PTAS SEDAN</t>
  </si>
  <si>
    <t>JKZ 747</t>
  </si>
  <si>
    <t>K4MA690Q069188</t>
  </si>
  <si>
    <t>112 778 05</t>
  </si>
  <si>
    <t xml:space="preserve">AVALOS GEORGINA </t>
  </si>
  <si>
    <t xml:space="preserve">ALVARADO MIRTA DEL CARMEN </t>
  </si>
  <si>
    <t xml:space="preserve">VOLKSWAGEN SURAN </t>
  </si>
  <si>
    <t>IKI 233</t>
  </si>
  <si>
    <t>CFZ214172</t>
  </si>
  <si>
    <t>034 53 LX</t>
  </si>
  <si>
    <t xml:space="preserve">ALMONACID LILIAN </t>
  </si>
  <si>
    <t xml:space="preserve">FIAT OPALIO SX 1.3 </t>
  </si>
  <si>
    <t xml:space="preserve">SEDAN 3 PTAS </t>
  </si>
  <si>
    <t>ECG 05</t>
  </si>
  <si>
    <t>178A20006360158</t>
  </si>
  <si>
    <t>044 571 22</t>
  </si>
  <si>
    <t>ALVEAL HERNANDEZ JUAN ALBERTO</t>
  </si>
  <si>
    <t xml:space="preserve">CHEVROLET CRUZE </t>
  </si>
  <si>
    <t>AC 689 MN</t>
  </si>
  <si>
    <t>LEM2172770178</t>
  </si>
  <si>
    <t>042 08 17 EK</t>
  </si>
  <si>
    <t xml:space="preserve">CHEVROLET CORSA CLASSIC </t>
  </si>
  <si>
    <t xml:space="preserve">ALMONACID CRISTIAN </t>
  </si>
  <si>
    <t>FQS 036</t>
  </si>
  <si>
    <t>7H5068709</t>
  </si>
  <si>
    <t>042 08 BD</t>
  </si>
  <si>
    <t xml:space="preserve">ARCOS MARCELO DEL CARMEN </t>
  </si>
  <si>
    <t xml:space="preserve">RENAULT CAPTUR INTENS </t>
  </si>
  <si>
    <t>RURAL 5 PTAS</t>
  </si>
  <si>
    <t>AC 664 XF</t>
  </si>
  <si>
    <t>H4MD751R004897</t>
  </si>
  <si>
    <t>112 04 B01</t>
  </si>
  <si>
    <t xml:space="preserve">NISSAN MARCH ACTIVE PURE DRIVE </t>
  </si>
  <si>
    <t xml:space="preserve">AB 399 RY </t>
  </si>
  <si>
    <t>HR16099269T</t>
  </si>
  <si>
    <t>102 710 05</t>
  </si>
  <si>
    <t>HONDA CIVIC LXS</t>
  </si>
  <si>
    <t>HNX 547</t>
  </si>
  <si>
    <t>R18A18605633</t>
  </si>
  <si>
    <t>055 B30 02</t>
  </si>
  <si>
    <t>ALVEAL GABRIEL</t>
  </si>
  <si>
    <t xml:space="preserve">BERTINAT RUBEN EZEQUIEL </t>
  </si>
  <si>
    <t>FORD F100 XLT</t>
  </si>
  <si>
    <t>EGE 688</t>
  </si>
  <si>
    <t>047 279 11</t>
  </si>
  <si>
    <t xml:space="preserve">BRAVO JAVIER ANDRES </t>
  </si>
  <si>
    <t>FXQ 667</t>
  </si>
  <si>
    <t>CJJA78806880</t>
  </si>
  <si>
    <t>047 04 595</t>
  </si>
  <si>
    <t xml:space="preserve">PEUGEOT PARTNER PATAGONICA </t>
  </si>
  <si>
    <t>GEE 388</t>
  </si>
  <si>
    <t>10DXBE00323326</t>
  </si>
  <si>
    <t>039 34 ES</t>
  </si>
  <si>
    <t xml:space="preserve">BAEZ PAULA </t>
  </si>
  <si>
    <t xml:space="preserve">FORD FOCUS EXE TREND </t>
  </si>
  <si>
    <t>JVZ 774</t>
  </si>
  <si>
    <t>MVDDBJ418651</t>
  </si>
  <si>
    <t>041 19 VZ</t>
  </si>
  <si>
    <t>BEZEMER CATALAN MARY MARISOL</t>
  </si>
  <si>
    <t>FORD F600</t>
  </si>
  <si>
    <t>CHASIS C/ CABINA</t>
  </si>
  <si>
    <t>VGT 495</t>
  </si>
  <si>
    <t>RPA214135</t>
  </si>
  <si>
    <t>005 19 14</t>
  </si>
  <si>
    <t>BAGLIONI ANDRES</t>
  </si>
  <si>
    <t xml:space="preserve">RENAULT KANGO CONFORT </t>
  </si>
  <si>
    <t>FURGON</t>
  </si>
  <si>
    <t>JVU 836</t>
  </si>
  <si>
    <t>K4MJ730Q072518</t>
  </si>
  <si>
    <t xml:space="preserve">BORGHI MARA NOELIA </t>
  </si>
  <si>
    <t>FIAT FIORINO FIRE 1242</t>
  </si>
  <si>
    <t>FURGONETA</t>
  </si>
  <si>
    <t>IEJ 476</t>
  </si>
  <si>
    <t>17E80118645667</t>
  </si>
  <si>
    <t>044 591 30</t>
  </si>
  <si>
    <t>SUSUKI VITARA JIII</t>
  </si>
  <si>
    <t xml:space="preserve">TODO TERRENO </t>
  </si>
  <si>
    <t>ITL 742</t>
  </si>
  <si>
    <t>J24B1065153</t>
  </si>
  <si>
    <t>127 819 10</t>
  </si>
  <si>
    <t>TOYOTA HILUX 4X2 SR</t>
  </si>
  <si>
    <t>PDQ 113</t>
  </si>
  <si>
    <t>1KDA854471</t>
  </si>
  <si>
    <t>030 68 71</t>
  </si>
  <si>
    <t xml:space="preserve">JEEP </t>
  </si>
  <si>
    <t>AB 588 CZ</t>
  </si>
  <si>
    <t>151 092 04</t>
  </si>
  <si>
    <t>FORD ECOSPORT XLT</t>
  </si>
  <si>
    <t xml:space="preserve">BARRIENTOS JULIA BEATRIZ </t>
  </si>
  <si>
    <t xml:space="preserve">RENAULT SANDERO </t>
  </si>
  <si>
    <t>HRB 915</t>
  </si>
  <si>
    <t>K4MA690Q028526</t>
  </si>
  <si>
    <t>112 77 05</t>
  </si>
  <si>
    <t xml:space="preserve">VOLKWAGEN AMAROK </t>
  </si>
  <si>
    <t>PEE 890</t>
  </si>
  <si>
    <t>CNF058804</t>
  </si>
  <si>
    <t>034 53 WJ</t>
  </si>
  <si>
    <t xml:space="preserve">BOCA ALCIDES </t>
  </si>
  <si>
    <t xml:space="preserve">TOYOTA HILUX 4X4 </t>
  </si>
  <si>
    <t>MIG 908</t>
  </si>
  <si>
    <t>1KDA019691</t>
  </si>
  <si>
    <t>030 68 28</t>
  </si>
  <si>
    <t xml:space="preserve">BRAVO JULIO M </t>
  </si>
  <si>
    <t xml:space="preserve">VOLKSWAGEN GOL TRENDLINE </t>
  </si>
  <si>
    <t>AE 727 WA</t>
  </si>
  <si>
    <t>CFZU83870</t>
  </si>
  <si>
    <t>136 670 05</t>
  </si>
  <si>
    <t xml:space="preserve">BARRIA MARIANO </t>
  </si>
  <si>
    <t xml:space="preserve">RENAULT LOGAN INTENS </t>
  </si>
  <si>
    <t xml:space="preserve">AG 328 JH </t>
  </si>
  <si>
    <t>H4MJ759Q269926</t>
  </si>
  <si>
    <t>033 37 5U</t>
  </si>
  <si>
    <t xml:space="preserve">BELARMINO ANTILEO </t>
  </si>
  <si>
    <t xml:space="preserve">FORD ECOSPORT SE </t>
  </si>
  <si>
    <t xml:space="preserve">RURAL 5 PUERTAS </t>
  </si>
  <si>
    <t>AF 063 JH</t>
  </si>
  <si>
    <t>NMA44628</t>
  </si>
  <si>
    <t>047 B61 04</t>
  </si>
  <si>
    <t xml:space="preserve">CARRIZO CARLOS ALBERTO </t>
  </si>
  <si>
    <t>TOYOTA HILUX 4X4 SRV</t>
  </si>
  <si>
    <t>AF 978 TE</t>
  </si>
  <si>
    <t>1GDG387486</t>
  </si>
  <si>
    <t xml:space="preserve">030 68 BG </t>
  </si>
  <si>
    <t xml:space="preserve">CORTES RAMON VALENTIN </t>
  </si>
  <si>
    <t xml:space="preserve">VOLKSWAGEN POLO CLASIC </t>
  </si>
  <si>
    <t>FGL 488</t>
  </si>
  <si>
    <t>1Y965893</t>
  </si>
  <si>
    <t>034 53 JT</t>
  </si>
  <si>
    <t>CHAMORRO FACUNDO</t>
  </si>
  <si>
    <t>AC 689 MA</t>
  </si>
  <si>
    <t>1GD0412336</t>
  </si>
  <si>
    <t>030 68 96</t>
  </si>
  <si>
    <t>CHAMORRO MARIA JOSE</t>
  </si>
  <si>
    <t>FRA 987</t>
  </si>
  <si>
    <t>2KD7101023</t>
  </si>
  <si>
    <t>030 68 26</t>
  </si>
  <si>
    <t>CASTRO JOSE ARTURO</t>
  </si>
  <si>
    <t>CFT 427</t>
  </si>
  <si>
    <t>RPA555377</t>
  </si>
  <si>
    <t xml:space="preserve">CORNELIO JOSE ANIBAL </t>
  </si>
  <si>
    <t>TOYOTA HILUX 4X2 SRV</t>
  </si>
  <si>
    <t>ESG 960</t>
  </si>
  <si>
    <t>5L5122294</t>
  </si>
  <si>
    <t xml:space="preserve">CUFFONI MANUEL JESUS </t>
  </si>
  <si>
    <t>SUBARU FORESTER TURBO AWD</t>
  </si>
  <si>
    <t>DNU 214</t>
  </si>
  <si>
    <t>B292515</t>
  </si>
  <si>
    <t>126 10 118</t>
  </si>
  <si>
    <t xml:space="preserve">CORONEL COCE MARIA LUCRECIA </t>
  </si>
  <si>
    <t xml:space="preserve">VOLKSWAGEN GOL  </t>
  </si>
  <si>
    <t>LFX 724</t>
  </si>
  <si>
    <t>CNB036708</t>
  </si>
  <si>
    <t>136 463 22</t>
  </si>
  <si>
    <t xml:space="preserve">CASTRO TAMARA ANDREA </t>
  </si>
  <si>
    <t xml:space="preserve">AF 640 IZ </t>
  </si>
  <si>
    <t>2GDD063458</t>
  </si>
  <si>
    <t>030 68 BR</t>
  </si>
  <si>
    <t>CALFUEQUE MARIA GRISELDA</t>
  </si>
  <si>
    <t>RENAULT DUSTER OROCH DYNAMIQUE</t>
  </si>
  <si>
    <t>AE 361 NW</t>
  </si>
  <si>
    <t>F4RE412C197320</t>
  </si>
  <si>
    <t>112 A32 82</t>
  </si>
  <si>
    <t>OFJ078</t>
  </si>
  <si>
    <t>1KDA557044</t>
  </si>
  <si>
    <t>030 68 82</t>
  </si>
  <si>
    <t xml:space="preserve">CHAVEZ ROXANA </t>
  </si>
  <si>
    <t>FORD FOCUS NMT SE PLUS</t>
  </si>
  <si>
    <t>NOA 350</t>
  </si>
  <si>
    <t>MGDAEJ178635</t>
  </si>
  <si>
    <t>041 19 XB</t>
  </si>
  <si>
    <t xml:space="preserve">CASTILLO ALADINO </t>
  </si>
  <si>
    <t xml:space="preserve">FORD RANGER DC 4X2 XL </t>
  </si>
  <si>
    <t>OZI 023</t>
  </si>
  <si>
    <t>QW2PFJ354368</t>
  </si>
  <si>
    <t>041 19 XX</t>
  </si>
  <si>
    <t xml:space="preserve">CURRUHINCA JAQUELINA </t>
  </si>
  <si>
    <t xml:space="preserve">VOLKSWAGEN GOL TREND </t>
  </si>
  <si>
    <t xml:space="preserve">ORH 668 </t>
  </si>
  <si>
    <t>CFZN84436</t>
  </si>
  <si>
    <t>136 413 05</t>
  </si>
  <si>
    <t xml:space="preserve">CUEVAS RUBEN </t>
  </si>
  <si>
    <t xml:space="preserve">RENAULT LOGAN  </t>
  </si>
  <si>
    <t>GYC 529</t>
  </si>
  <si>
    <t>K4MA690Q18903</t>
  </si>
  <si>
    <t>112 650 02</t>
  </si>
  <si>
    <t xml:space="preserve">CASTILLO MONICA ANDREA </t>
  </si>
  <si>
    <t>FORD KA SE</t>
  </si>
  <si>
    <t xml:space="preserve">AC 455 NS </t>
  </si>
  <si>
    <t>UEKAJ8094615</t>
  </si>
  <si>
    <t>047 02 B46</t>
  </si>
  <si>
    <t xml:space="preserve">CUEVAS JULIETA ELIZABETH </t>
  </si>
  <si>
    <t>RENAULT LOGAN AUT.</t>
  </si>
  <si>
    <t>LPH 717</t>
  </si>
  <si>
    <t>K7MF710Q118334</t>
  </si>
  <si>
    <t>112 830 02</t>
  </si>
  <si>
    <t xml:space="preserve">CORNELIO VALERIA </t>
  </si>
  <si>
    <t xml:space="preserve">VOLKSWAGEN GOL </t>
  </si>
  <si>
    <t>JBA 339</t>
  </si>
  <si>
    <t>UNF639363</t>
  </si>
  <si>
    <t>136 274 05</t>
  </si>
  <si>
    <t xml:space="preserve">CROCCE ARNALDO EUGENIO </t>
  </si>
  <si>
    <t>TOYOTA COROLLA CROS XLI</t>
  </si>
  <si>
    <t>AF 053 RV</t>
  </si>
  <si>
    <t>M20AAB06427</t>
  </si>
  <si>
    <t>130 B02 04</t>
  </si>
  <si>
    <t>CAIN CATRO ALEXIS GUIDO</t>
  </si>
  <si>
    <t>SUZUKI GRAND VITARA JIII</t>
  </si>
  <si>
    <t>GYV 991</t>
  </si>
  <si>
    <t>J20A531833</t>
  </si>
  <si>
    <t>127 10 759</t>
  </si>
  <si>
    <t xml:space="preserve">CEJAS JAIRO EZEQUIEL </t>
  </si>
  <si>
    <t>CHEVROLET MERIVA GLS</t>
  </si>
  <si>
    <t>5R0037671</t>
  </si>
  <si>
    <t>024 388 05</t>
  </si>
  <si>
    <t xml:space="preserve">CONTRERAS RAQUEL </t>
  </si>
  <si>
    <t>GXX 999</t>
  </si>
  <si>
    <t>AA 905 KU</t>
  </si>
  <si>
    <t>HR16086923T</t>
  </si>
  <si>
    <t>CHAMORRO BENJAMIN L</t>
  </si>
  <si>
    <t xml:space="preserve">VOLKSWAGEN SURAN CROSS </t>
  </si>
  <si>
    <t>NEN 569</t>
  </si>
  <si>
    <t>CFZ281216</t>
  </si>
  <si>
    <t>034 53 TF</t>
  </si>
  <si>
    <t>COMAS DIETRICH FERNANDO J</t>
  </si>
  <si>
    <t>TOYOTA ETIOS XLS</t>
  </si>
  <si>
    <t>AA 922 EK</t>
  </si>
  <si>
    <t>2NR4034885</t>
  </si>
  <si>
    <t>130 911 05</t>
  </si>
  <si>
    <t>OPG 498</t>
  </si>
  <si>
    <t>1KDA668474</t>
  </si>
  <si>
    <t>030 68 81</t>
  </si>
  <si>
    <t xml:space="preserve">CORTINA MELANIA </t>
  </si>
  <si>
    <t xml:space="preserve">FIAT PALIO ATTRACTIVE </t>
  </si>
  <si>
    <t>OMF 864</t>
  </si>
  <si>
    <t>327A0552183310</t>
  </si>
  <si>
    <t>028 17 AY</t>
  </si>
  <si>
    <t xml:space="preserve">FODR FOCUS </t>
  </si>
  <si>
    <t xml:space="preserve">AD 252 GL </t>
  </si>
  <si>
    <t>PNDAKJ102579</t>
  </si>
  <si>
    <t>041 19 WZ</t>
  </si>
  <si>
    <t>FORD RANGER CS 4X4 XL</t>
  </si>
  <si>
    <t>FQX 563</t>
  </si>
  <si>
    <t>C34202468</t>
  </si>
  <si>
    <t>041 19 TS</t>
  </si>
  <si>
    <t>PEUGEOT 206 PREM.</t>
  </si>
  <si>
    <t>GEB 599</t>
  </si>
  <si>
    <t>8AD2AQJYU7GO71880</t>
  </si>
  <si>
    <t>039 341 FV</t>
  </si>
  <si>
    <t xml:space="preserve">VOLKSWAGEN VIRTUS TRENDLINE </t>
  </si>
  <si>
    <t xml:space="preserve">AC 790 BS </t>
  </si>
  <si>
    <t>CWS057738</t>
  </si>
  <si>
    <t>136 651 02</t>
  </si>
  <si>
    <t xml:space="preserve">CHAMORRO MARIO </t>
  </si>
  <si>
    <t>VOLKSWAGEN GOL COUNTRY</t>
  </si>
  <si>
    <t>RURAL 5 P</t>
  </si>
  <si>
    <t>FML 396</t>
  </si>
  <si>
    <t>UNF359963</t>
  </si>
  <si>
    <t>136 276 04</t>
  </si>
  <si>
    <t>RENAULT NUEVO SANDERO STEPWAY</t>
  </si>
  <si>
    <t>AD 393 KC</t>
  </si>
  <si>
    <t>K4M2842Q210086</t>
  </si>
  <si>
    <t>033 37 3A</t>
  </si>
  <si>
    <t xml:space="preserve">CHAMORRO ROMINA </t>
  </si>
  <si>
    <t>HQL 120</t>
  </si>
  <si>
    <t>UNF607363</t>
  </si>
  <si>
    <t>136 274 22</t>
  </si>
  <si>
    <t>CANALE FERNANDO G</t>
  </si>
  <si>
    <t xml:space="preserve">TOYOTA HILUX DC SRX </t>
  </si>
  <si>
    <t>AF 244 CQ</t>
  </si>
  <si>
    <t>1GD290675</t>
  </si>
  <si>
    <t>030 68 BH</t>
  </si>
  <si>
    <t>CORTINA JOSE</t>
  </si>
  <si>
    <t>TOYOTA HILUX 4X4 DC DX</t>
  </si>
  <si>
    <t xml:space="preserve">AG 642 MC </t>
  </si>
  <si>
    <t>2GDD189346</t>
  </si>
  <si>
    <t>030 68 BM</t>
  </si>
  <si>
    <t>TOYOTA COROLLA XLI</t>
  </si>
  <si>
    <t xml:space="preserve">TOYOTA COROLLA XLI </t>
  </si>
  <si>
    <t>2ZRM4400264</t>
  </si>
  <si>
    <t>130 875 02</t>
  </si>
  <si>
    <t xml:space="preserve">FIAT CRONOS DRIVE </t>
  </si>
  <si>
    <t xml:space="preserve">AF 978 TM </t>
  </si>
  <si>
    <t>048 17 CP</t>
  </si>
  <si>
    <t>OMP 978</t>
  </si>
  <si>
    <t>1KDA626877</t>
  </si>
  <si>
    <t>030 68 91</t>
  </si>
  <si>
    <t xml:space="preserve">CASABONA ALBERTO </t>
  </si>
  <si>
    <t xml:space="preserve">PEUGEUOT PARNER </t>
  </si>
  <si>
    <t>JHN 130</t>
  </si>
  <si>
    <t>10JBBV0084409</t>
  </si>
  <si>
    <t>039 34 17</t>
  </si>
  <si>
    <t>CASAS EDUARDO</t>
  </si>
  <si>
    <t>AB 628 SL</t>
  </si>
  <si>
    <t>MVJAH8655286</t>
  </si>
  <si>
    <t>047 998 04</t>
  </si>
  <si>
    <t>FIAT PUNTO ATTRACTIVE</t>
  </si>
  <si>
    <t>KFJ 990</t>
  </si>
  <si>
    <t>310A20110106362</t>
  </si>
  <si>
    <t>044 729 05</t>
  </si>
  <si>
    <t>FBU 840</t>
  </si>
  <si>
    <t>552820598502321.</t>
  </si>
  <si>
    <t>CASTILLO DANIE RODRIGO</t>
  </si>
  <si>
    <t>1KD9445297</t>
  </si>
  <si>
    <t>DATTOLI GERONIMO M</t>
  </si>
  <si>
    <t>AF 640 IP</t>
  </si>
  <si>
    <t>2GDD346163</t>
  </si>
  <si>
    <t xml:space="preserve">030 68 BM </t>
  </si>
  <si>
    <t xml:space="preserve">DATTOLI DELFINA </t>
  </si>
  <si>
    <t xml:space="preserve">TOYOTA BW SW4 4X4 </t>
  </si>
  <si>
    <t xml:space="preserve">AF 866 VE </t>
  </si>
  <si>
    <t>1GD5245086</t>
  </si>
  <si>
    <t>030 68 BW</t>
  </si>
  <si>
    <t>FIAT DUCATO CARGO MEDIO L2H</t>
  </si>
  <si>
    <t xml:space="preserve">FURGON </t>
  </si>
  <si>
    <t xml:space="preserve">AD 766 ED </t>
  </si>
  <si>
    <t>F1AE3481D7275620</t>
  </si>
  <si>
    <t>044 908 13</t>
  </si>
  <si>
    <t>DODERO SANTIAGO</t>
  </si>
  <si>
    <t>AE 324 XV</t>
  </si>
  <si>
    <t>1GDD171743</t>
  </si>
  <si>
    <t>TOYOTA SW4 4X4 SRX</t>
  </si>
  <si>
    <t>PNL 477</t>
  </si>
  <si>
    <t>1GD4078206</t>
  </si>
  <si>
    <t>030 68 AJ</t>
  </si>
  <si>
    <t>DE URQUIZA CARLOS M</t>
  </si>
  <si>
    <t xml:space="preserve">CHEVROLET S10 </t>
  </si>
  <si>
    <t xml:space="preserve">HAT 409 </t>
  </si>
  <si>
    <t>M1A317687</t>
  </si>
  <si>
    <t>024 412 11</t>
  </si>
  <si>
    <t>FLK 438</t>
  </si>
  <si>
    <t>1KD9456205</t>
  </si>
  <si>
    <t>030 68 20 29</t>
  </si>
  <si>
    <t>JAL 587</t>
  </si>
  <si>
    <t>2KD5055887</t>
  </si>
  <si>
    <t>030 68 2025</t>
  </si>
  <si>
    <t>AF 192 KT</t>
  </si>
  <si>
    <t>2GDC923196</t>
  </si>
  <si>
    <t xml:space="preserve">DI PASCUALE CARLOS </t>
  </si>
  <si>
    <t xml:space="preserve">FIAT PALIO FIRE </t>
  </si>
  <si>
    <t>IPC 427</t>
  </si>
  <si>
    <t>310A20119238589</t>
  </si>
  <si>
    <t>028 17 AT</t>
  </si>
  <si>
    <t xml:space="preserve">AD 393 KB </t>
  </si>
  <si>
    <t>048 17 DJ</t>
  </si>
  <si>
    <t xml:space="preserve">TOYOTA HILUX 4X4 DX </t>
  </si>
  <si>
    <t xml:space="preserve">AE 283 SI </t>
  </si>
  <si>
    <t>552820597189743.</t>
  </si>
  <si>
    <t>2GDG157257</t>
  </si>
  <si>
    <t>030 68 97</t>
  </si>
  <si>
    <t xml:space="preserve">ESPINOSA PAULA ALEJANDRA </t>
  </si>
  <si>
    <t xml:space="preserve">RENAULT </t>
  </si>
  <si>
    <t xml:space="preserve">GZP 914 </t>
  </si>
  <si>
    <t>K4MA690Q022315</t>
  </si>
  <si>
    <t>112 678 05</t>
  </si>
  <si>
    <t xml:space="preserve">ELORGA ANDREA CARINA </t>
  </si>
  <si>
    <t>HONDA XR 250</t>
  </si>
  <si>
    <t xml:space="preserve">MOTOCICLETA </t>
  </si>
  <si>
    <t>249CM3</t>
  </si>
  <si>
    <t>957 KFK</t>
  </si>
  <si>
    <t>MD34EE858794</t>
  </si>
  <si>
    <t>048 27 10 19</t>
  </si>
  <si>
    <t xml:space="preserve">ELORGA OLATE FRANCO </t>
  </si>
  <si>
    <t xml:space="preserve">VOLKSWAGEN GOL TREND COMFORTLINE </t>
  </si>
  <si>
    <t xml:space="preserve">AC 174 AK </t>
  </si>
  <si>
    <t>CFZS21748</t>
  </si>
  <si>
    <t>136 608 05</t>
  </si>
  <si>
    <t xml:space="preserve">FONSECA MATIAS PEDRO </t>
  </si>
  <si>
    <t>MHE 845</t>
  </si>
  <si>
    <t>CNB056990</t>
  </si>
  <si>
    <t>136 05 463</t>
  </si>
  <si>
    <t xml:space="preserve">FERNANDEZ HONORIO </t>
  </si>
  <si>
    <t>AC 011 UP</t>
  </si>
  <si>
    <t>1GDG031440</t>
  </si>
  <si>
    <t>030 M68 96</t>
  </si>
  <si>
    <t>TOYOTA HILUX 4X4</t>
  </si>
  <si>
    <t>FALASCHINI FRANSISCO O</t>
  </si>
  <si>
    <t xml:space="preserve">VOLKSWAGEN POLO HIGHLINE </t>
  </si>
  <si>
    <t xml:space="preserve">AE 126 TG </t>
  </si>
  <si>
    <t>CWS078473</t>
  </si>
  <si>
    <t>136 645 05</t>
  </si>
  <si>
    <t xml:space="preserve">FERNANDEZ HECTOR MANUEL </t>
  </si>
  <si>
    <t>FGQ 355</t>
  </si>
  <si>
    <t>1KD7041572</t>
  </si>
  <si>
    <t>030 68 27</t>
  </si>
  <si>
    <t xml:space="preserve">FONSECA HECTOR ORLANDO </t>
  </si>
  <si>
    <t xml:space="preserve">VOLKSWAGEN AMAROK DC </t>
  </si>
  <si>
    <t>AB 098 MK</t>
  </si>
  <si>
    <t>CNE097597</t>
  </si>
  <si>
    <t>034 53 5M</t>
  </si>
  <si>
    <t xml:space="preserve">FERNANDEZ SANDRA EDITH </t>
  </si>
  <si>
    <t>DXO 978</t>
  </si>
  <si>
    <t>1Y652549</t>
  </si>
  <si>
    <t>034 53 CA</t>
  </si>
  <si>
    <t>VOLKSWAGEN MAROK HIG 4X4</t>
  </si>
  <si>
    <t>AF 355 TH</t>
  </si>
  <si>
    <t>CNE132399</t>
  </si>
  <si>
    <t>034 53 8P</t>
  </si>
  <si>
    <t xml:space="preserve">FONSECA SANTIAGO </t>
  </si>
  <si>
    <t xml:space="preserve">VOLKWAGEN GOL TREND </t>
  </si>
  <si>
    <t xml:space="preserve">AD 253 GH </t>
  </si>
  <si>
    <t>CFZT61924</t>
  </si>
  <si>
    <t>136 05 577</t>
  </si>
  <si>
    <t>AA 236 LL</t>
  </si>
  <si>
    <t>UEKAH8365283</t>
  </si>
  <si>
    <t>047 A86 05</t>
  </si>
  <si>
    <t xml:space="preserve">FERNANDEZ SANTIAGO </t>
  </si>
  <si>
    <t>JZL 675</t>
  </si>
  <si>
    <t>CNB007300</t>
  </si>
  <si>
    <t>Arienti Eneas</t>
  </si>
  <si>
    <t>Nombre y apellido</t>
  </si>
  <si>
    <t>Deuda en concepto de</t>
  </si>
  <si>
    <t>Monto total deuda</t>
  </si>
  <si>
    <t>Lagos Lucas Evans</t>
  </si>
  <si>
    <t xml:space="preserve">Muñoz Mirta </t>
  </si>
  <si>
    <t>Casas Eduardo</t>
  </si>
  <si>
    <t>Fernandez de Rodrigo</t>
  </si>
  <si>
    <t>Dattoli Delfina</t>
  </si>
  <si>
    <t>Campbell Maria Loreto</t>
  </si>
  <si>
    <t>Reising Lilen</t>
  </si>
  <si>
    <t>Olatte Ludmila</t>
  </si>
  <si>
    <t xml:space="preserve">Paz Sebastian </t>
  </si>
  <si>
    <t>Zuñega Nahuel</t>
  </si>
  <si>
    <t>Almonacid Jonathan</t>
  </si>
  <si>
    <t>Sfeir Romina</t>
  </si>
  <si>
    <t xml:space="preserve">Ketelhohn Paula </t>
  </si>
  <si>
    <t xml:space="preserve">Desurko Rosana </t>
  </si>
  <si>
    <t xml:space="preserve">Olatte Jorge </t>
  </si>
  <si>
    <t>Plan de pago</t>
  </si>
  <si>
    <t>Ultima</t>
  </si>
  <si>
    <t>Periodo</t>
  </si>
  <si>
    <t>Cuotas</t>
  </si>
  <si>
    <t xml:space="preserve">Banco Provincia de Neuquen </t>
  </si>
  <si>
    <t>B1</t>
  </si>
  <si>
    <t xml:space="preserve">Avila Luis C/ Gallegos Ingrid </t>
  </si>
  <si>
    <t>2020 a 2025</t>
  </si>
  <si>
    <t>Retributivos</t>
  </si>
  <si>
    <t>DNI</t>
  </si>
  <si>
    <t>24.017.675  33.043.380</t>
  </si>
  <si>
    <t>20.274.105 18.304.909</t>
  </si>
  <si>
    <t>Amable Carlos Fernandez Gladys Olga</t>
  </si>
  <si>
    <t>Ancamil Miguel Hernandez Beatriz</t>
  </si>
  <si>
    <t>25.036.995 26.951.807</t>
  </si>
  <si>
    <t>24.369.049   21.877.010</t>
  </si>
  <si>
    <t>ver nomenclatura catastral</t>
  </si>
  <si>
    <t>(#) 17.995.146</t>
  </si>
  <si>
    <t>24.580.816   26.349.005</t>
  </si>
  <si>
    <t>33.336.602 35.817.502</t>
  </si>
  <si>
    <t>Fernandez Diego  Olatte Fabiana Mariela</t>
  </si>
  <si>
    <t>33.043.384   36.352459</t>
  </si>
  <si>
    <t>Fernandez Honorio Onofre</t>
  </si>
  <si>
    <t>Fernandez Enzo Oscar</t>
  </si>
  <si>
    <t>Fontana Luis Roberto</t>
  </si>
  <si>
    <t xml:space="preserve">Gallegos Viviana Georgina </t>
  </si>
  <si>
    <t>Gatica Alicia de las Nieves</t>
  </si>
  <si>
    <t>Gresznaryk de Kacser Esteban Alejandro</t>
  </si>
  <si>
    <t>24095863   16.235.100</t>
  </si>
  <si>
    <t>Iturra Susana Beatriz</t>
  </si>
  <si>
    <t>27.255.323   28.361.608</t>
  </si>
  <si>
    <t>Lopez Victor Leonardo</t>
  </si>
  <si>
    <t>Lagos Carina Betiana</t>
  </si>
  <si>
    <t>Iturra Manuel Alberto</t>
  </si>
  <si>
    <t>Lagos Julian Alejandro</t>
  </si>
  <si>
    <t>Lucuman Margarita Beatriz</t>
  </si>
  <si>
    <t>Miranda Laura Soledad</t>
  </si>
  <si>
    <t xml:space="preserve">Miller Maria Rosa/Garcia Edgardo Daniel </t>
  </si>
  <si>
    <t>17936402   21.808.509</t>
  </si>
  <si>
    <t>Matus Ovidio Nicandro</t>
  </si>
  <si>
    <t>23.008.382   22.974.091</t>
  </si>
  <si>
    <t>Meren Claudio Javier/Santilli Sandra Beatriz</t>
  </si>
  <si>
    <t xml:space="preserve">Moreno Ruben Cesar </t>
  </si>
  <si>
    <t xml:space="preserve">Muñoz Mirta Silvia </t>
  </si>
  <si>
    <t>Muños Jose Sergio</t>
  </si>
  <si>
    <t>Matus Juan Jose</t>
  </si>
  <si>
    <t>27.349.207   20.690.392</t>
  </si>
  <si>
    <t>Mazza Daniela Adriana/Sosa German Andres</t>
  </si>
  <si>
    <t>Novoa Elida Cruz</t>
  </si>
  <si>
    <t>Olatte Enso</t>
  </si>
  <si>
    <t>Ortega Nelson Guarberto</t>
  </si>
  <si>
    <t>Olate Osbel</t>
  </si>
  <si>
    <t>Olivero Gustavo Rodolfo</t>
  </si>
  <si>
    <t>Olate Bruno Leoncio</t>
  </si>
  <si>
    <t>Paichil Agustina Elizabeth</t>
  </si>
  <si>
    <t xml:space="preserve">Paichil Rosa Carolina </t>
  </si>
  <si>
    <t>Paichil Blanca Ester</t>
  </si>
  <si>
    <t>Pasaron Patricia Ines</t>
  </si>
  <si>
    <t>Paicil Elcira del Carmen</t>
  </si>
  <si>
    <t>Paicil Cristian Damian</t>
  </si>
  <si>
    <t>Paicil Virginia Ayelén</t>
  </si>
  <si>
    <t>Paichil Angel Marcelo/Curruinca Jaquelina</t>
  </si>
  <si>
    <t>28.787.933   30.529.780</t>
  </si>
  <si>
    <t>Paredes Omar Abel</t>
  </si>
  <si>
    <t>Ricarte Carlos Hugo</t>
  </si>
  <si>
    <t>Ranitesch Pablo Alejandro</t>
  </si>
  <si>
    <t>Simon Carlos German</t>
  </si>
  <si>
    <t>Sfeir Romina Daniela</t>
  </si>
  <si>
    <t>Santilli Horacio Omar</t>
  </si>
  <si>
    <t>Sciaroni Fernando Rodolfo</t>
  </si>
  <si>
    <t>Schutz Ricardo Hugo</t>
  </si>
  <si>
    <t xml:space="preserve">Scalerandi Mrio Gaston </t>
  </si>
  <si>
    <t>Sepuelveda Daniel Eliseo</t>
  </si>
  <si>
    <t>Simon Marion Andrea</t>
  </si>
  <si>
    <t>Torres Omar Gerardo</t>
  </si>
  <si>
    <t xml:space="preserve">Torres Marcos Ramon/Cea Cid Keña </t>
  </si>
  <si>
    <t>31.528.338/30.472.995</t>
  </si>
  <si>
    <t>Torres Gerardo/Cordoba Maria de los Angeles</t>
  </si>
  <si>
    <t>1 SEMESTRE</t>
  </si>
  <si>
    <t>2 SEMESTRE</t>
  </si>
  <si>
    <t xml:space="preserve">DEUDA </t>
  </si>
  <si>
    <t>S/INTERES</t>
  </si>
  <si>
    <t>CARNET UNICO DE DISCAPACIDAD</t>
  </si>
  <si>
    <t>CUD</t>
  </si>
  <si>
    <t>FALLECIDO</t>
  </si>
  <si>
    <t>CUD - FALLECIDA</t>
  </si>
  <si>
    <t xml:space="preserve">Lagos Hector Feliciano </t>
  </si>
  <si>
    <t>2020 A JUNIO 2025</t>
  </si>
  <si>
    <t>PNNH</t>
  </si>
  <si>
    <t>Penalva Maria del Carmen y Otra</t>
  </si>
  <si>
    <t>44A1</t>
  </si>
  <si>
    <t>44A2</t>
  </si>
  <si>
    <t>44A3</t>
  </si>
  <si>
    <t>44A4</t>
  </si>
  <si>
    <t>44A5</t>
  </si>
  <si>
    <t>Paulini Carlos</t>
  </si>
  <si>
    <t>36A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</si>
</sst>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44" fontId="0" fillId="2" borderId="1" xfId="1" applyFont="1" applyFill="1" applyBorder="1"/>
    <xf numFmtId="44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/>
    <xf numFmtId="0" fontId="0" fillId="0" borderId="7" xfId="0" applyFill="1" applyBorder="1"/>
    <xf numFmtId="0" fontId="0" fillId="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3" fillId="2" borderId="1" xfId="1" applyFont="1" applyFill="1" applyBorder="1" applyAlignment="1">
      <alignment horizontal="right"/>
    </xf>
    <xf numFmtId="44" fontId="3" fillId="0" borderId="1" xfId="1" applyFont="1" applyFill="1" applyBorder="1" applyAlignment="1">
      <alignment horizontal="right"/>
    </xf>
    <xf numFmtId="3" fontId="0" fillId="0" borderId="1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44" fontId="3" fillId="0" borderId="4" xfId="1" applyFont="1" applyFill="1" applyBorder="1" applyAlignment="1">
      <alignment horizontal="right"/>
    </xf>
    <xf numFmtId="44" fontId="3" fillId="0" borderId="14" xfId="1" applyFont="1" applyFill="1" applyBorder="1" applyAlignment="1">
      <alignment horizontal="right"/>
    </xf>
    <xf numFmtId="44" fontId="0" fillId="0" borderId="3" xfId="1" applyFont="1" applyFill="1" applyBorder="1"/>
    <xf numFmtId="0" fontId="0" fillId="0" borderId="15" xfId="0" applyFill="1" applyBorder="1" applyAlignment="1">
      <alignment horizontal="center" vertical="center"/>
    </xf>
    <xf numFmtId="44" fontId="3" fillId="0" borderId="16" xfId="1" applyFont="1" applyFill="1" applyBorder="1" applyAlignment="1">
      <alignment horizontal="right"/>
    </xf>
    <xf numFmtId="44" fontId="3" fillId="0" borderId="17" xfId="1" applyFont="1" applyFill="1" applyBorder="1" applyAlignment="1">
      <alignment horizontal="right"/>
    </xf>
    <xf numFmtId="0" fontId="3" fillId="0" borderId="17" xfId="0" applyFont="1" applyFill="1" applyBorder="1" applyAlignment="1">
      <alignment horizontal="right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6" xfId="0" applyFill="1" applyBorder="1"/>
    <xf numFmtId="44" fontId="3" fillId="0" borderId="6" xfId="1" applyFont="1" applyFill="1" applyBorder="1" applyAlignment="1">
      <alignment horizontal="right"/>
    </xf>
    <xf numFmtId="44" fontId="0" fillId="0" borderId="20" xfId="1" applyFont="1" applyFill="1" applyBorder="1"/>
    <xf numFmtId="44" fontId="0" fillId="0" borderId="6" xfId="1" applyFont="1" applyFill="1" applyBorder="1"/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4" fontId="0" fillId="2" borderId="3" xfId="1" applyFont="1" applyFill="1" applyBorder="1"/>
    <xf numFmtId="44" fontId="3" fillId="5" borderId="1" xfId="1" applyFont="1" applyFill="1" applyBorder="1" applyAlignment="1">
      <alignment horizontal="right"/>
    </xf>
    <xf numFmtId="44" fontId="3" fillId="2" borderId="6" xfId="1" applyFon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44" fontId="3" fillId="5" borderId="4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right"/>
    </xf>
    <xf numFmtId="44" fontId="5" fillId="2" borderId="1" xfId="1" applyFont="1" applyFill="1" applyBorder="1" applyAlignment="1">
      <alignment horizontal="right"/>
    </xf>
    <xf numFmtId="44" fontId="3" fillId="0" borderId="1" xfId="1" applyFont="1" applyFill="1" applyBorder="1" applyAlignment="1">
      <alignment horizontal="center" vertical="center"/>
    </xf>
    <xf numFmtId="44" fontId="3" fillId="0" borderId="4" xfId="1" applyFont="1" applyFill="1" applyBorder="1" applyAlignment="1">
      <alignment horizontal="center" vertical="center"/>
    </xf>
    <xf numFmtId="44" fontId="3" fillId="0" borderId="10" xfId="1" applyFont="1" applyFill="1" applyBorder="1" applyAlignment="1">
      <alignment horizontal="center" vertical="center"/>
    </xf>
    <xf numFmtId="44" fontId="3" fillId="0" borderId="13" xfId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right"/>
    </xf>
    <xf numFmtId="44" fontId="3" fillId="5" borderId="4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right"/>
    </xf>
    <xf numFmtId="44" fontId="5" fillId="0" borderId="2" xfId="1" applyFont="1" applyFill="1" applyBorder="1" applyAlignment="1">
      <alignment horizontal="right"/>
    </xf>
    <xf numFmtId="44" fontId="5" fillId="0" borderId="29" xfId="1" applyFont="1" applyFill="1" applyBorder="1" applyAlignment="1">
      <alignment horizontal="right"/>
    </xf>
    <xf numFmtId="44" fontId="5" fillId="2" borderId="4" xfId="1" applyFont="1" applyFill="1" applyBorder="1" applyAlignment="1">
      <alignment horizontal="right"/>
    </xf>
    <xf numFmtId="44" fontId="5" fillId="2" borderId="2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44" fontId="3" fillId="2" borderId="2" xfId="1" applyFont="1" applyFill="1" applyBorder="1" applyAlignment="1">
      <alignment horizontal="center" vertical="center"/>
    </xf>
    <xf numFmtId="44" fontId="3" fillId="2" borderId="3" xfId="1" applyFont="1" applyFill="1" applyBorder="1" applyAlignment="1">
      <alignment horizontal="center" vertical="center"/>
    </xf>
    <xf numFmtId="44" fontId="3" fillId="5" borderId="4" xfId="1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Border="1" applyAlignment="1"/>
    <xf numFmtId="44" fontId="3" fillId="0" borderId="5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44" fontId="3" fillId="0" borderId="17" xfId="0" applyNumberFormat="1" applyFont="1" applyFill="1" applyBorder="1" applyAlignment="1">
      <alignment horizontal="center" vertical="center"/>
    </xf>
    <xf numFmtId="44" fontId="3" fillId="0" borderId="2" xfId="1" applyFont="1" applyFill="1" applyBorder="1" applyAlignment="1">
      <alignment horizontal="center" vertical="center"/>
    </xf>
    <xf numFmtId="44" fontId="3" fillId="6" borderId="4" xfId="1" applyFont="1" applyFill="1" applyBorder="1" applyAlignment="1">
      <alignment horizontal="center" vertical="center"/>
    </xf>
    <xf numFmtId="44" fontId="3" fillId="6" borderId="4" xfId="1" applyFont="1" applyFill="1" applyBorder="1" applyAlignment="1">
      <alignment horizontal="right"/>
    </xf>
    <xf numFmtId="44" fontId="3" fillId="2" borderId="5" xfId="1" applyFont="1" applyFill="1" applyBorder="1" applyAlignment="1">
      <alignment horizontal="center" vertical="center"/>
    </xf>
    <xf numFmtId="44" fontId="3" fillId="0" borderId="5" xfId="1" applyFont="1" applyFill="1" applyBorder="1" applyAlignment="1">
      <alignment horizontal="center" vertical="center"/>
    </xf>
    <xf numFmtId="44" fontId="3" fillId="0" borderId="30" xfId="1" applyFont="1" applyFill="1" applyBorder="1" applyAlignment="1">
      <alignment horizontal="center" vertical="center"/>
    </xf>
    <xf numFmtId="44" fontId="3" fillId="2" borderId="6" xfId="1" applyFont="1" applyFill="1" applyBorder="1" applyAlignment="1">
      <alignment horizontal="center" vertical="center"/>
    </xf>
    <xf numFmtId="44" fontId="3" fillId="0" borderId="6" xfId="1" applyFont="1" applyFill="1" applyBorder="1" applyAlignment="1">
      <alignment horizontal="center" vertical="center"/>
    </xf>
    <xf numFmtId="44" fontId="3" fillId="0" borderId="14" xfId="1" applyFont="1" applyFill="1" applyBorder="1" applyAlignment="1">
      <alignment horizontal="center" vertical="center"/>
    </xf>
    <xf numFmtId="44" fontId="3" fillId="6" borderId="2" xfId="1" applyFont="1" applyFill="1" applyBorder="1" applyAlignment="1">
      <alignment horizontal="center" vertical="center"/>
    </xf>
    <xf numFmtId="44" fontId="3" fillId="6" borderId="3" xfId="1" applyFont="1" applyFill="1" applyBorder="1" applyAlignment="1">
      <alignment horizontal="center" vertical="center"/>
    </xf>
    <xf numFmtId="44" fontId="3" fillId="0" borderId="29" xfId="1" applyFont="1" applyFill="1" applyBorder="1" applyAlignment="1">
      <alignment horizontal="right"/>
    </xf>
    <xf numFmtId="44" fontId="3" fillId="2" borderId="5" xfId="1" applyFont="1" applyFill="1" applyBorder="1" applyAlignment="1">
      <alignment horizontal="right"/>
    </xf>
    <xf numFmtId="44" fontId="3" fillId="0" borderId="30" xfId="1" applyFont="1" applyFill="1" applyBorder="1" applyAlignment="1">
      <alignment horizontal="right"/>
    </xf>
    <xf numFmtId="44" fontId="3" fillId="6" borderId="2" xfId="1" applyFont="1" applyFill="1" applyBorder="1" applyAlignment="1">
      <alignment horizontal="right"/>
    </xf>
    <xf numFmtId="44" fontId="3" fillId="6" borderId="3" xfId="1" applyFont="1" applyFill="1" applyBorder="1" applyAlignment="1">
      <alignment horizontal="right"/>
    </xf>
    <xf numFmtId="44" fontId="3" fillId="5" borderId="10" xfId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/>
    </xf>
    <xf numFmtId="44" fontId="3" fillId="5" borderId="4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29" xfId="0" applyFill="1" applyBorder="1" applyAlignment="1">
      <alignment horizontal="right"/>
    </xf>
    <xf numFmtId="44" fontId="3" fillId="5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Fill="1" applyBorder="1" applyAlignment="1"/>
    <xf numFmtId="0" fontId="0" fillId="0" borderId="6" xfId="0" applyBorder="1" applyAlignment="1"/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44" fontId="0" fillId="5" borderId="2" xfId="1" applyFont="1" applyFill="1" applyBorder="1" applyAlignment="1">
      <alignment horizontal="center" vertical="center"/>
    </xf>
    <xf numFmtId="44" fontId="0" fillId="5" borderId="3" xfId="1" applyFont="1" applyFill="1" applyBorder="1" applyAlignment="1">
      <alignment horizontal="center" vertical="center"/>
    </xf>
    <xf numFmtId="44" fontId="3" fillId="5" borderId="14" xfId="1" applyFon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4" fontId="3" fillId="5" borderId="14" xfId="1" applyFont="1" applyFill="1" applyBorder="1" applyAlignment="1">
      <alignment horizontal="right"/>
    </xf>
    <xf numFmtId="0" fontId="0" fillId="5" borderId="33" xfId="0" applyFill="1" applyBorder="1" applyAlignment="1">
      <alignment horizontal="right"/>
    </xf>
    <xf numFmtId="0" fontId="0" fillId="5" borderId="20" xfId="0" applyFill="1" applyBorder="1" applyAlignment="1">
      <alignment horizontal="right"/>
    </xf>
    <xf numFmtId="0" fontId="0" fillId="5" borderId="34" xfId="0" applyFill="1" applyBorder="1" applyAlignment="1">
      <alignment horizontal="right"/>
    </xf>
    <xf numFmtId="44" fontId="3" fillId="4" borderId="4" xfId="1" applyFon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29" xfId="0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3" fontId="0" fillId="0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right"/>
    </xf>
    <xf numFmtId="0" fontId="0" fillId="0" borderId="21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3" fillId="5" borderId="1" xfId="1" applyFont="1" applyFill="1" applyBorder="1" applyAlignment="1">
      <alignment horizontal="right"/>
    </xf>
    <xf numFmtId="44" fontId="3" fillId="5" borderId="12" xfId="1" applyFont="1" applyFill="1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44" fontId="3" fillId="0" borderId="5" xfId="1" applyFont="1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17" fontId="3" fillId="5" borderId="4" xfId="1" applyNumberFormat="1" applyFont="1" applyFill="1" applyBorder="1" applyAlignment="1">
      <alignment horizontal="right"/>
    </xf>
    <xf numFmtId="44" fontId="3" fillId="5" borderId="30" xfId="1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Fill="1" applyBorder="1" applyAlignment="1"/>
    <xf numFmtId="0" fontId="0" fillId="0" borderId="7" xfId="0" applyBorder="1" applyAlignment="1">
      <alignment vertical="center"/>
    </xf>
    <xf numFmtId="0" fontId="0" fillId="0" borderId="5" xfId="0" applyBorder="1" applyAlignment="1"/>
    <xf numFmtId="0" fontId="0" fillId="0" borderId="5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B27" sqref="B27"/>
    </sheetView>
  </sheetViews>
  <sheetFormatPr baseColWidth="10" defaultRowHeight="15" x14ac:dyDescent="0.25"/>
  <cols>
    <col min="1" max="1" width="30" customWidth="1"/>
    <col min="2" max="2" width="22.85546875" style="21" customWidth="1"/>
    <col min="3" max="3" width="20.85546875" style="24" customWidth="1"/>
    <col min="4" max="4" width="11.42578125" customWidth="1"/>
  </cols>
  <sheetData>
    <row r="1" spans="1:4" ht="23.25" customHeight="1" x14ac:dyDescent="0.25">
      <c r="A1" s="20" t="s">
        <v>645</v>
      </c>
      <c r="B1" s="20" t="s">
        <v>646</v>
      </c>
      <c r="C1" s="23" t="s">
        <v>647</v>
      </c>
      <c r="D1" t="s">
        <v>665</v>
      </c>
    </row>
    <row r="2" spans="1:4" x14ac:dyDescent="0.25">
      <c r="A2" s="2" t="s">
        <v>648</v>
      </c>
      <c r="B2" s="20" t="s">
        <v>663</v>
      </c>
      <c r="C2" s="17">
        <v>178293</v>
      </c>
      <c r="D2" t="s">
        <v>666</v>
      </c>
    </row>
    <row r="3" spans="1:4" x14ac:dyDescent="0.25">
      <c r="A3" s="2" t="s">
        <v>649</v>
      </c>
      <c r="B3" s="20" t="s">
        <v>663</v>
      </c>
      <c r="C3" s="17">
        <v>80272.88</v>
      </c>
      <c r="D3" t="s">
        <v>666</v>
      </c>
    </row>
    <row r="4" spans="1:4" x14ac:dyDescent="0.25">
      <c r="A4" s="2" t="s">
        <v>650</v>
      </c>
      <c r="B4" s="20" t="s">
        <v>663</v>
      </c>
      <c r="C4" s="17">
        <v>111667</v>
      </c>
      <c r="D4" t="s">
        <v>666</v>
      </c>
    </row>
    <row r="5" spans="1:4" x14ac:dyDescent="0.25">
      <c r="A5" s="2" t="s">
        <v>651</v>
      </c>
      <c r="B5" s="20" t="s">
        <v>663</v>
      </c>
      <c r="C5" s="17">
        <v>829333.94</v>
      </c>
      <c r="D5" t="s">
        <v>666</v>
      </c>
    </row>
    <row r="6" spans="1:4" x14ac:dyDescent="0.25">
      <c r="A6" s="2" t="s">
        <v>652</v>
      </c>
      <c r="B6" s="20" t="s">
        <v>663</v>
      </c>
      <c r="C6" s="17">
        <v>65603</v>
      </c>
      <c r="D6" t="s">
        <v>666</v>
      </c>
    </row>
    <row r="7" spans="1:4" x14ac:dyDescent="0.25">
      <c r="A7" s="2" t="s">
        <v>653</v>
      </c>
      <c r="B7" s="20" t="s">
        <v>663</v>
      </c>
      <c r="C7" s="17">
        <v>465797</v>
      </c>
      <c r="D7" t="s">
        <v>666</v>
      </c>
    </row>
    <row r="8" spans="1:4" x14ac:dyDescent="0.25">
      <c r="A8" s="2" t="s">
        <v>654</v>
      </c>
      <c r="B8" s="20" t="s">
        <v>663</v>
      </c>
      <c r="C8" s="17">
        <v>409184</v>
      </c>
      <c r="D8" t="s">
        <v>666</v>
      </c>
    </row>
    <row r="9" spans="1:4" x14ac:dyDescent="0.25">
      <c r="A9" s="2" t="s">
        <v>90</v>
      </c>
      <c r="B9" s="20" t="s">
        <v>663</v>
      </c>
      <c r="C9" s="17">
        <v>237033</v>
      </c>
      <c r="D9" t="s">
        <v>664</v>
      </c>
    </row>
    <row r="10" spans="1:4" x14ac:dyDescent="0.25">
      <c r="A10" s="2" t="s">
        <v>655</v>
      </c>
      <c r="B10" s="20" t="s">
        <v>663</v>
      </c>
      <c r="C10" s="17">
        <v>52724</v>
      </c>
      <c r="D10" t="s">
        <v>666</v>
      </c>
    </row>
    <row r="11" spans="1:4" x14ac:dyDescent="0.25">
      <c r="A11" s="2" t="s">
        <v>157</v>
      </c>
      <c r="B11" s="20" t="s">
        <v>663</v>
      </c>
      <c r="C11" s="17">
        <v>446178</v>
      </c>
      <c r="D11" t="s">
        <v>666</v>
      </c>
    </row>
    <row r="12" spans="1:4" x14ac:dyDescent="0.25">
      <c r="A12" s="2" t="s">
        <v>656</v>
      </c>
      <c r="B12" s="20" t="s">
        <v>663</v>
      </c>
      <c r="C12" s="17">
        <v>123550</v>
      </c>
      <c r="D12" t="s">
        <v>666</v>
      </c>
    </row>
    <row r="13" spans="1:4" x14ac:dyDescent="0.25">
      <c r="A13" s="2" t="s">
        <v>657</v>
      </c>
      <c r="B13" s="20" t="s">
        <v>663</v>
      </c>
      <c r="C13" s="17">
        <v>114725</v>
      </c>
      <c r="D13" t="s">
        <v>666</v>
      </c>
    </row>
    <row r="14" spans="1:4" x14ac:dyDescent="0.25">
      <c r="A14" s="2" t="s">
        <v>658</v>
      </c>
      <c r="B14" s="20" t="s">
        <v>663</v>
      </c>
      <c r="C14" s="17">
        <v>242000</v>
      </c>
      <c r="D14" t="s">
        <v>666</v>
      </c>
    </row>
    <row r="15" spans="1:4" x14ac:dyDescent="0.25">
      <c r="A15" s="2" t="s">
        <v>659</v>
      </c>
      <c r="B15" s="20" t="s">
        <v>663</v>
      </c>
      <c r="C15" s="17">
        <v>197570</v>
      </c>
      <c r="D15" t="s">
        <v>664</v>
      </c>
    </row>
    <row r="16" spans="1:4" x14ac:dyDescent="0.25">
      <c r="A16" s="2" t="s">
        <v>660</v>
      </c>
      <c r="B16" s="20" t="s">
        <v>663</v>
      </c>
      <c r="C16" s="17">
        <v>235616</v>
      </c>
      <c r="D16" t="s">
        <v>666</v>
      </c>
    </row>
    <row r="17" spans="1:4" x14ac:dyDescent="0.25">
      <c r="A17" s="2" t="s">
        <v>661</v>
      </c>
      <c r="B17" s="20" t="s">
        <v>663</v>
      </c>
      <c r="C17" s="17">
        <v>61775</v>
      </c>
      <c r="D17" t="s">
        <v>666</v>
      </c>
    </row>
    <row r="18" spans="1:4" x14ac:dyDescent="0.25">
      <c r="A18" s="2" t="s">
        <v>662</v>
      </c>
      <c r="B18" s="20" t="s">
        <v>663</v>
      </c>
      <c r="C18" s="17">
        <v>44125</v>
      </c>
      <c r="D18" t="s">
        <v>666</v>
      </c>
    </row>
    <row r="19" spans="1:4" x14ac:dyDescent="0.25">
      <c r="A19" s="25" t="s">
        <v>669</v>
      </c>
      <c r="B19" s="21" t="s">
        <v>671</v>
      </c>
      <c r="C19" s="24">
        <v>379341.9</v>
      </c>
      <c r="D19" t="s">
        <v>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5"/>
  <sheetViews>
    <sheetView tabSelected="1" topLeftCell="A178" zoomScale="110" zoomScaleNormal="110" workbookViewId="0">
      <pane xSplit="1" topLeftCell="F1" activePane="topRight" state="frozen"/>
      <selection pane="topRight" activeCell="A178" sqref="A178:A182"/>
    </sheetView>
  </sheetViews>
  <sheetFormatPr baseColWidth="10" defaultColWidth="9.140625" defaultRowHeight="15" x14ac:dyDescent="0.25"/>
  <cols>
    <col min="1" max="1" width="42.5703125" customWidth="1"/>
    <col min="2" max="2" width="38" style="22" customWidth="1"/>
    <col min="3" max="4" width="18.28515625" style="1" customWidth="1"/>
    <col min="5" max="5" width="31.7109375" style="1" customWidth="1"/>
    <col min="6" max="6" width="19.140625" style="58" customWidth="1"/>
    <col min="7" max="18" width="10" style="1" customWidth="1"/>
    <col min="19" max="19" width="20.140625" style="35" customWidth="1"/>
    <col min="20" max="25" width="13.140625" customWidth="1"/>
  </cols>
  <sheetData>
    <row r="1" spans="1:25" ht="24.75" customHeight="1" x14ac:dyDescent="0.25">
      <c r="A1" s="154" t="s">
        <v>2</v>
      </c>
      <c r="B1" s="157" t="s">
        <v>672</v>
      </c>
      <c r="C1" s="153" t="s">
        <v>0</v>
      </c>
      <c r="D1" s="153" t="s">
        <v>4</v>
      </c>
      <c r="E1" s="153" t="s">
        <v>1</v>
      </c>
      <c r="F1" s="157"/>
      <c r="G1" s="153">
        <v>2025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49"/>
      <c r="S1" s="40" t="s">
        <v>743</v>
      </c>
      <c r="T1" s="145">
        <v>2020</v>
      </c>
      <c r="U1" s="147">
        <v>2021</v>
      </c>
      <c r="V1" s="147">
        <v>2022</v>
      </c>
      <c r="W1" s="147">
        <v>2023</v>
      </c>
      <c r="X1" s="149">
        <v>2024</v>
      </c>
      <c r="Y1" s="150"/>
    </row>
    <row r="2" spans="1:25" ht="24.75" customHeight="1" thickBot="1" x14ac:dyDescent="0.3">
      <c r="A2" s="155"/>
      <c r="B2" s="148"/>
      <c r="C2" s="156"/>
      <c r="D2" s="156"/>
      <c r="E2" s="156"/>
      <c r="F2" s="148"/>
      <c r="G2" s="51" t="s">
        <v>211</v>
      </c>
      <c r="H2" s="51" t="s">
        <v>212</v>
      </c>
      <c r="I2" s="51" t="s">
        <v>213</v>
      </c>
      <c r="J2" s="51" t="s">
        <v>214</v>
      </c>
      <c r="K2" s="51" t="s">
        <v>215</v>
      </c>
      <c r="L2" s="51" t="s">
        <v>216</v>
      </c>
      <c r="M2" s="51" t="s">
        <v>217</v>
      </c>
      <c r="N2" s="51" t="s">
        <v>218</v>
      </c>
      <c r="O2" s="51" t="s">
        <v>219</v>
      </c>
      <c r="P2" s="51" t="s">
        <v>220</v>
      </c>
      <c r="Q2" s="51" t="s">
        <v>221</v>
      </c>
      <c r="R2" s="52" t="s">
        <v>222</v>
      </c>
      <c r="S2" s="46" t="s">
        <v>744</v>
      </c>
      <c r="T2" s="146"/>
      <c r="U2" s="148"/>
      <c r="V2" s="148"/>
      <c r="W2" s="148"/>
      <c r="X2" s="36" t="s">
        <v>741</v>
      </c>
      <c r="Y2" s="53" t="s">
        <v>742</v>
      </c>
    </row>
    <row r="3" spans="1:25" x14ac:dyDescent="0.25">
      <c r="A3" s="47" t="s">
        <v>3</v>
      </c>
      <c r="B3" s="33" t="s">
        <v>673</v>
      </c>
      <c r="C3" s="33">
        <v>9</v>
      </c>
      <c r="D3" s="33" t="s">
        <v>5</v>
      </c>
      <c r="E3" s="33" t="s">
        <v>6</v>
      </c>
      <c r="F3" s="59"/>
      <c r="G3" s="159">
        <v>148800</v>
      </c>
      <c r="H3" s="160"/>
      <c r="I3" s="160"/>
      <c r="J3" s="160"/>
      <c r="K3" s="160"/>
      <c r="L3" s="160"/>
      <c r="M3" s="160"/>
      <c r="N3" s="161"/>
      <c r="O3" s="56">
        <v>18600</v>
      </c>
      <c r="P3" s="56">
        <v>18600</v>
      </c>
      <c r="Q3" s="48"/>
      <c r="R3" s="38"/>
      <c r="S3" s="41">
        <f>O3+P3</f>
        <v>37200</v>
      </c>
      <c r="T3" s="49"/>
      <c r="U3" s="50"/>
      <c r="V3" s="50"/>
      <c r="W3" s="50"/>
      <c r="X3" s="50"/>
      <c r="Y3" s="50"/>
    </row>
    <row r="4" spans="1:25" x14ac:dyDescent="0.25">
      <c r="A4" s="11" t="s">
        <v>7</v>
      </c>
      <c r="B4" s="9"/>
      <c r="C4" s="9">
        <v>20</v>
      </c>
      <c r="D4" s="9"/>
      <c r="E4" s="9">
        <v>16300470884</v>
      </c>
      <c r="F4" s="57"/>
      <c r="G4" s="55">
        <v>24440</v>
      </c>
      <c r="H4" s="55">
        <v>24440</v>
      </c>
      <c r="I4" s="55">
        <v>24440</v>
      </c>
      <c r="J4" s="55">
        <v>24440</v>
      </c>
      <c r="K4" s="55">
        <v>24440</v>
      </c>
      <c r="L4" s="55">
        <v>24440</v>
      </c>
      <c r="M4" s="55">
        <v>24440</v>
      </c>
      <c r="N4" s="55">
        <v>24440</v>
      </c>
      <c r="O4" s="55">
        <v>24440</v>
      </c>
      <c r="P4" s="30">
        <v>24440</v>
      </c>
      <c r="Q4" s="31"/>
      <c r="R4" s="37"/>
      <c r="S4" s="42">
        <f>P4</f>
        <v>24440</v>
      </c>
      <c r="T4" s="39"/>
      <c r="U4" s="19"/>
      <c r="V4" s="19"/>
      <c r="W4" s="19"/>
      <c r="X4" s="19"/>
      <c r="Y4" s="19"/>
    </row>
    <row r="5" spans="1:25" x14ac:dyDescent="0.25">
      <c r="A5" s="11" t="s">
        <v>644</v>
      </c>
      <c r="B5" s="9"/>
      <c r="C5" s="9">
        <v>4</v>
      </c>
      <c r="D5" s="9"/>
      <c r="E5" s="9">
        <v>16300465790</v>
      </c>
      <c r="F5" s="60"/>
      <c r="G5" s="112">
        <v>189571.93</v>
      </c>
      <c r="H5" s="113"/>
      <c r="I5" s="113"/>
      <c r="J5" s="113"/>
      <c r="K5" s="113"/>
      <c r="L5" s="114"/>
      <c r="M5" s="112">
        <v>151200</v>
      </c>
      <c r="N5" s="131"/>
      <c r="O5" s="131"/>
      <c r="P5" s="131"/>
      <c r="Q5" s="131"/>
      <c r="R5" s="144"/>
      <c r="S5" s="42"/>
      <c r="T5" s="39"/>
      <c r="U5" s="19"/>
      <c r="V5" s="19"/>
      <c r="W5" s="19"/>
      <c r="X5" s="19"/>
      <c r="Y5" s="19"/>
    </row>
    <row r="6" spans="1:25" x14ac:dyDescent="0.25">
      <c r="A6" s="11" t="s">
        <v>8</v>
      </c>
      <c r="B6" s="32">
        <v>28787934</v>
      </c>
      <c r="C6" s="9" t="s">
        <v>9</v>
      </c>
      <c r="D6" s="9"/>
      <c r="E6" s="9" t="s">
        <v>6</v>
      </c>
      <c r="F6" s="57"/>
      <c r="G6" s="30">
        <v>18600</v>
      </c>
      <c r="H6" s="30">
        <v>18600</v>
      </c>
      <c r="I6" s="30">
        <v>18600</v>
      </c>
      <c r="J6" s="30">
        <v>18600</v>
      </c>
      <c r="K6" s="30">
        <v>18600</v>
      </c>
      <c r="L6" s="30">
        <v>18600</v>
      </c>
      <c r="M6" s="30">
        <v>18600</v>
      </c>
      <c r="N6" s="30">
        <v>18600</v>
      </c>
      <c r="O6" s="30">
        <v>18600</v>
      </c>
      <c r="P6" s="30">
        <v>18600</v>
      </c>
      <c r="Q6" s="31"/>
      <c r="R6" s="37"/>
      <c r="S6" s="42">
        <f>T6+U6+V6+W6+X6+Y6+P6+O6+N6+M6+L6+K6+J6+I6+H6+G6</f>
        <v>276918</v>
      </c>
      <c r="T6" s="54">
        <f>262.5*12</f>
        <v>3150</v>
      </c>
      <c r="U6" s="18">
        <f>412.5*12</f>
        <v>4950</v>
      </c>
      <c r="V6" s="18">
        <f>412.5*12</f>
        <v>4950</v>
      </c>
      <c r="W6" s="18">
        <f>1000*12</f>
        <v>12000</v>
      </c>
      <c r="X6" s="18">
        <f>1989*6</f>
        <v>11934</v>
      </c>
      <c r="Y6" s="18">
        <f>8989*6</f>
        <v>53934</v>
      </c>
    </row>
    <row r="7" spans="1:25" x14ac:dyDescent="0.25">
      <c r="A7" s="11" t="s">
        <v>10</v>
      </c>
      <c r="B7" s="32">
        <v>10580271</v>
      </c>
      <c r="C7" s="9" t="s">
        <v>11</v>
      </c>
      <c r="D7" s="9"/>
      <c r="E7" s="9">
        <v>16300471441</v>
      </c>
      <c r="F7" s="57"/>
      <c r="G7" s="30">
        <v>60000</v>
      </c>
      <c r="H7" s="30">
        <v>60000</v>
      </c>
      <c r="I7" s="30">
        <v>60000</v>
      </c>
      <c r="J7" s="30">
        <v>60000</v>
      </c>
      <c r="K7" s="30">
        <v>60000</v>
      </c>
      <c r="L7" s="30">
        <v>60000</v>
      </c>
      <c r="M7" s="30">
        <v>60000</v>
      </c>
      <c r="N7" s="30">
        <v>60000</v>
      </c>
      <c r="O7" s="30">
        <v>60000</v>
      </c>
      <c r="P7" s="30">
        <v>60000</v>
      </c>
      <c r="Q7" s="31"/>
      <c r="R7" s="37"/>
      <c r="S7" s="42">
        <f>T7+U7+V7+W7+X7+Y7+G7+H7+I7+J7+K7+L7+M7+N7+O7+P7</f>
        <v>1123260</v>
      </c>
      <c r="T7" s="54"/>
      <c r="U7" s="18">
        <f>3000*12</f>
        <v>36000</v>
      </c>
      <c r="V7" s="18"/>
      <c r="W7" s="18">
        <f>7590*12</f>
        <v>91080</v>
      </c>
      <c r="X7" s="18">
        <f>26230*6</f>
        <v>157380</v>
      </c>
      <c r="Y7" s="18">
        <f>39800*6</f>
        <v>238800</v>
      </c>
    </row>
    <row r="8" spans="1:25" x14ac:dyDescent="0.25">
      <c r="A8" s="11" t="s">
        <v>675</v>
      </c>
      <c r="B8" s="9" t="s">
        <v>674</v>
      </c>
      <c r="C8" s="9">
        <v>58</v>
      </c>
      <c r="D8" s="9"/>
      <c r="E8" s="9">
        <v>16300508955</v>
      </c>
      <c r="F8" s="57" t="s">
        <v>746</v>
      </c>
      <c r="G8" s="163" t="s">
        <v>745</v>
      </c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4"/>
      <c r="S8" s="43"/>
      <c r="T8" s="39"/>
      <c r="U8" s="19"/>
      <c r="V8" s="19"/>
      <c r="W8" s="19"/>
      <c r="X8" s="19"/>
      <c r="Y8" s="19"/>
    </row>
    <row r="9" spans="1:25" x14ac:dyDescent="0.25">
      <c r="A9" s="11" t="s">
        <v>12</v>
      </c>
      <c r="B9" s="9"/>
      <c r="C9" s="9">
        <v>8</v>
      </c>
      <c r="D9" s="9" t="s">
        <v>5</v>
      </c>
      <c r="E9" s="9" t="s">
        <v>6</v>
      </c>
      <c r="F9" s="57"/>
      <c r="G9" s="158">
        <v>100440</v>
      </c>
      <c r="H9" s="162"/>
      <c r="I9" s="162"/>
      <c r="J9" s="162"/>
      <c r="K9" s="162"/>
      <c r="L9" s="162"/>
      <c r="M9" s="30">
        <v>18600</v>
      </c>
      <c r="N9" s="30">
        <v>18600</v>
      </c>
      <c r="O9" s="30">
        <v>18600</v>
      </c>
      <c r="P9" s="30">
        <v>18600</v>
      </c>
      <c r="Q9" s="31"/>
      <c r="R9" s="37"/>
      <c r="S9" s="42">
        <f>SUM(M9:P9)</f>
        <v>74400</v>
      </c>
      <c r="T9" s="39"/>
      <c r="U9" s="19"/>
      <c r="V9" s="19"/>
      <c r="W9" s="19"/>
      <c r="X9" s="19"/>
      <c r="Y9" s="19"/>
    </row>
    <row r="10" spans="1:25" x14ac:dyDescent="0.25">
      <c r="A10" s="11" t="s">
        <v>676</v>
      </c>
      <c r="B10" s="32" t="s">
        <v>677</v>
      </c>
      <c r="C10" s="9">
        <v>17</v>
      </c>
      <c r="D10" s="9" t="s">
        <v>13</v>
      </c>
      <c r="E10" s="9" t="s">
        <v>6</v>
      </c>
      <c r="F10" s="57"/>
      <c r="G10" s="30">
        <v>18600</v>
      </c>
      <c r="H10" s="30">
        <v>18600</v>
      </c>
      <c r="I10" s="30">
        <v>18600</v>
      </c>
      <c r="J10" s="30">
        <v>18600</v>
      </c>
      <c r="K10" s="30">
        <v>18600</v>
      </c>
      <c r="L10" s="30">
        <v>18600</v>
      </c>
      <c r="M10" s="30">
        <v>18600</v>
      </c>
      <c r="N10" s="30">
        <v>18600</v>
      </c>
      <c r="O10" s="30">
        <v>18600</v>
      </c>
      <c r="P10" s="30">
        <v>18600</v>
      </c>
      <c r="Q10" s="31"/>
      <c r="R10" s="37"/>
      <c r="S10" s="42">
        <f>G10+H10+I10+J10+K10+L10+M10+N10+O10+P10+T10+U10+V10+W10+X10+Y10</f>
        <v>276918</v>
      </c>
      <c r="T10" s="54">
        <f>262.5*12</f>
        <v>3150</v>
      </c>
      <c r="U10" s="18">
        <f>412.5*12</f>
        <v>4950</v>
      </c>
      <c r="V10" s="18">
        <f>412.5*12</f>
        <v>4950</v>
      </c>
      <c r="W10" s="18">
        <f>1000*12</f>
        <v>12000</v>
      </c>
      <c r="X10" s="18">
        <f>1989*6</f>
        <v>11934</v>
      </c>
      <c r="Y10" s="18">
        <f>8989*6</f>
        <v>53934</v>
      </c>
    </row>
    <row r="11" spans="1:25" x14ac:dyDescent="0.25">
      <c r="A11" s="11" t="s">
        <v>14</v>
      </c>
      <c r="B11" s="9"/>
      <c r="C11" s="9">
        <v>7</v>
      </c>
      <c r="D11" s="9" t="s">
        <v>15</v>
      </c>
      <c r="E11" s="9" t="s">
        <v>6</v>
      </c>
      <c r="F11" s="57"/>
      <c r="G11" s="158">
        <v>55800</v>
      </c>
      <c r="H11" s="162"/>
      <c r="I11" s="162"/>
      <c r="J11" s="112">
        <v>55800</v>
      </c>
      <c r="K11" s="113"/>
      <c r="L11" s="114"/>
      <c r="M11" s="112">
        <v>55800</v>
      </c>
      <c r="N11" s="113"/>
      <c r="O11" s="114"/>
      <c r="P11" s="30">
        <v>18600</v>
      </c>
      <c r="Q11" s="31"/>
      <c r="R11" s="37"/>
      <c r="S11" s="42">
        <f>SUM(P11)</f>
        <v>18600</v>
      </c>
      <c r="T11" s="39"/>
      <c r="U11" s="19"/>
      <c r="V11" s="19"/>
      <c r="W11" s="19"/>
      <c r="X11" s="19"/>
      <c r="Y11" s="19"/>
    </row>
    <row r="12" spans="1:25" x14ac:dyDescent="0.25">
      <c r="A12" s="11" t="s">
        <v>16</v>
      </c>
      <c r="B12" s="32">
        <v>33034148</v>
      </c>
      <c r="C12" s="9">
        <v>4</v>
      </c>
      <c r="D12" s="9"/>
      <c r="E12" s="9">
        <v>16300447487</v>
      </c>
      <c r="F12" s="57"/>
      <c r="G12" s="30">
        <v>30030</v>
      </c>
      <c r="H12" s="30">
        <v>30030</v>
      </c>
      <c r="I12" s="30">
        <v>30030</v>
      </c>
      <c r="J12" s="30">
        <v>30030</v>
      </c>
      <c r="K12" s="30">
        <v>30030</v>
      </c>
      <c r="L12" s="30">
        <v>30030</v>
      </c>
      <c r="M12" s="30">
        <v>30030</v>
      </c>
      <c r="N12" s="30">
        <v>30030</v>
      </c>
      <c r="O12" s="30">
        <v>30030</v>
      </c>
      <c r="P12" s="30">
        <v>30030</v>
      </c>
      <c r="Q12" s="31"/>
      <c r="R12" s="37"/>
      <c r="S12" s="42">
        <f>Y12+P12+O12+N12+M12+L12+K12+J12+I12+H12+G12</f>
        <v>390936</v>
      </c>
      <c r="T12" s="39"/>
      <c r="U12" s="19"/>
      <c r="V12" s="19"/>
      <c r="W12" s="19"/>
      <c r="X12" s="19"/>
      <c r="Y12" s="18">
        <f>15106*6</f>
        <v>90636</v>
      </c>
    </row>
    <row r="13" spans="1:25" x14ac:dyDescent="0.25">
      <c r="A13" s="11" t="s">
        <v>17</v>
      </c>
      <c r="B13" s="9"/>
      <c r="C13" s="9">
        <v>59</v>
      </c>
      <c r="D13" s="9"/>
      <c r="E13" s="9">
        <v>16300508758</v>
      </c>
      <c r="F13" s="57"/>
      <c r="G13" s="158">
        <v>90893.34</v>
      </c>
      <c r="H13" s="158"/>
      <c r="I13" s="158"/>
      <c r="J13" s="30">
        <v>30298</v>
      </c>
      <c r="K13" s="30">
        <v>30298</v>
      </c>
      <c r="L13" s="30">
        <v>30298</v>
      </c>
      <c r="M13" s="30">
        <v>30298</v>
      </c>
      <c r="N13" s="30">
        <v>30298</v>
      </c>
      <c r="O13" s="30">
        <v>30298</v>
      </c>
      <c r="P13" s="30">
        <v>30298</v>
      </c>
      <c r="Q13" s="31"/>
      <c r="R13" s="37"/>
      <c r="S13" s="42">
        <f>SUM(J13:P13)</f>
        <v>212086</v>
      </c>
      <c r="T13" s="39"/>
      <c r="U13" s="19"/>
      <c r="V13" s="19"/>
      <c r="W13" s="19"/>
      <c r="X13" s="19"/>
      <c r="Y13" s="19"/>
    </row>
    <row r="14" spans="1:25" x14ac:dyDescent="0.25">
      <c r="A14" s="11" t="s">
        <v>18</v>
      </c>
      <c r="B14" s="32">
        <v>21063617</v>
      </c>
      <c r="C14" s="9">
        <v>67</v>
      </c>
      <c r="D14" s="9"/>
      <c r="E14" s="9">
        <v>16300509339</v>
      </c>
      <c r="F14" s="60"/>
      <c r="G14" s="112">
        <f>18600*6</f>
        <v>111600</v>
      </c>
      <c r="H14" s="131"/>
      <c r="I14" s="131"/>
      <c r="J14" s="131"/>
      <c r="K14" s="131"/>
      <c r="L14" s="132"/>
      <c r="M14" s="112">
        <f>21090*6</f>
        <v>126540</v>
      </c>
      <c r="N14" s="131"/>
      <c r="O14" s="131"/>
      <c r="P14" s="131"/>
      <c r="Q14" s="131"/>
      <c r="R14" s="144"/>
      <c r="S14" s="42"/>
      <c r="T14" s="39"/>
      <c r="U14" s="19"/>
      <c r="V14" s="19"/>
      <c r="W14" s="19"/>
      <c r="X14" s="19"/>
      <c r="Y14" s="19"/>
    </row>
    <row r="15" spans="1:25" x14ac:dyDescent="0.25">
      <c r="A15" s="11" t="s">
        <v>19</v>
      </c>
      <c r="B15" s="32">
        <v>18119721</v>
      </c>
      <c r="C15" s="9">
        <v>12</v>
      </c>
      <c r="D15" s="9"/>
      <c r="E15" s="9">
        <v>16300471388</v>
      </c>
      <c r="F15" s="57"/>
      <c r="G15" s="55">
        <v>23420</v>
      </c>
      <c r="H15" s="55">
        <v>23420</v>
      </c>
      <c r="I15" s="55">
        <v>23420</v>
      </c>
      <c r="J15" s="55">
        <v>23420</v>
      </c>
      <c r="K15" s="55">
        <v>23420</v>
      </c>
      <c r="L15" s="55">
        <v>23420</v>
      </c>
      <c r="M15" s="55">
        <v>23420</v>
      </c>
      <c r="N15" s="55">
        <v>23420</v>
      </c>
      <c r="O15" s="30">
        <v>23420</v>
      </c>
      <c r="P15" s="30">
        <v>23420</v>
      </c>
      <c r="Q15" s="31"/>
      <c r="R15" s="37"/>
      <c r="S15" s="42">
        <f>SUM(O15:P15)</f>
        <v>46840</v>
      </c>
      <c r="T15" s="39"/>
      <c r="U15" s="19"/>
      <c r="V15" s="19"/>
      <c r="W15" s="19"/>
      <c r="X15" s="19"/>
      <c r="Y15" s="19"/>
    </row>
    <row r="16" spans="1:25" x14ac:dyDescent="0.25">
      <c r="A16" s="11" t="s">
        <v>667</v>
      </c>
      <c r="B16" s="9"/>
      <c r="C16" s="9" t="s">
        <v>668</v>
      </c>
      <c r="D16" s="9"/>
      <c r="E16" s="9">
        <v>16300467369</v>
      </c>
      <c r="F16" s="57"/>
      <c r="G16" s="112">
        <v>183600</v>
      </c>
      <c r="H16" s="113"/>
      <c r="I16" s="113"/>
      <c r="J16" s="113"/>
      <c r="K16" s="113"/>
      <c r="L16" s="114"/>
      <c r="M16" s="112">
        <v>111600</v>
      </c>
      <c r="N16" s="113"/>
      <c r="O16" s="113"/>
      <c r="P16" s="113"/>
      <c r="Q16" s="113"/>
      <c r="R16" s="115"/>
      <c r="S16" s="42"/>
      <c r="T16" s="39"/>
      <c r="U16" s="19"/>
      <c r="V16" s="19"/>
      <c r="W16" s="19"/>
      <c r="X16" s="19"/>
      <c r="Y16" s="19"/>
    </row>
    <row r="17" spans="1:25" x14ac:dyDescent="0.25">
      <c r="A17" s="11" t="s">
        <v>21</v>
      </c>
      <c r="B17" s="9"/>
      <c r="C17" s="9">
        <v>41</v>
      </c>
      <c r="D17" s="9"/>
      <c r="E17" s="9">
        <v>16300474636</v>
      </c>
      <c r="F17" s="57"/>
      <c r="G17" s="55">
        <v>142308</v>
      </c>
      <c r="H17" s="55">
        <v>142308</v>
      </c>
      <c r="I17" s="55">
        <v>142308</v>
      </c>
      <c r="J17" s="55">
        <v>142308</v>
      </c>
      <c r="K17" s="55">
        <v>142308</v>
      </c>
      <c r="L17" s="55">
        <v>142308</v>
      </c>
      <c r="M17" s="55">
        <v>142308</v>
      </c>
      <c r="N17" s="55">
        <v>142308</v>
      </c>
      <c r="O17" s="55">
        <v>142308</v>
      </c>
      <c r="P17" s="30">
        <v>142308</v>
      </c>
      <c r="Q17" s="31"/>
      <c r="R17" s="37"/>
      <c r="S17" s="42">
        <f>P17</f>
        <v>142308</v>
      </c>
      <c r="T17" s="39"/>
      <c r="U17" s="19"/>
      <c r="V17" s="19"/>
      <c r="W17" s="19"/>
      <c r="X17" s="19"/>
      <c r="Y17" s="19"/>
    </row>
    <row r="18" spans="1:25" x14ac:dyDescent="0.25">
      <c r="A18" s="11" t="s">
        <v>21</v>
      </c>
      <c r="B18" s="9"/>
      <c r="C18" s="9" t="s">
        <v>20</v>
      </c>
      <c r="D18" s="9"/>
      <c r="E18" s="9">
        <v>16300464419</v>
      </c>
      <c r="F18" s="57"/>
      <c r="G18" s="55">
        <v>254379</v>
      </c>
      <c r="H18" s="55">
        <v>290379</v>
      </c>
      <c r="I18" s="55">
        <v>290379</v>
      </c>
      <c r="J18" s="55">
        <v>290379</v>
      </c>
      <c r="K18" s="55">
        <v>290379</v>
      </c>
      <c r="L18" s="55">
        <v>290379</v>
      </c>
      <c r="M18" s="55">
        <v>290379</v>
      </c>
      <c r="N18" s="55">
        <v>290379</v>
      </c>
      <c r="O18" s="55">
        <v>36000</v>
      </c>
      <c r="P18" s="30">
        <v>290379</v>
      </c>
      <c r="Q18" s="31"/>
      <c r="R18" s="37"/>
      <c r="S18" s="42">
        <f>P18+254379</f>
        <v>544758</v>
      </c>
      <c r="T18" s="39"/>
      <c r="U18" s="19"/>
      <c r="V18" s="19"/>
      <c r="W18" s="19"/>
      <c r="X18" s="19"/>
      <c r="Y18" s="19"/>
    </row>
    <row r="19" spans="1:25" x14ac:dyDescent="0.25">
      <c r="A19" s="11" t="s">
        <v>22</v>
      </c>
      <c r="B19" s="9"/>
      <c r="C19" s="9" t="s">
        <v>23</v>
      </c>
      <c r="D19" s="9"/>
      <c r="E19" s="9">
        <v>16300465650</v>
      </c>
      <c r="F19" s="57"/>
      <c r="G19" s="55">
        <v>135843</v>
      </c>
      <c r="H19" s="55">
        <v>135843</v>
      </c>
      <c r="I19" s="112">
        <f>96000+263529</f>
        <v>359529</v>
      </c>
      <c r="J19" s="113"/>
      <c r="K19" s="114"/>
      <c r="L19" s="55">
        <v>87843</v>
      </c>
      <c r="M19" s="112">
        <v>335529</v>
      </c>
      <c r="N19" s="131"/>
      <c r="O19" s="132"/>
      <c r="P19" s="30">
        <v>111843</v>
      </c>
      <c r="Q19" s="31"/>
      <c r="R19" s="37"/>
      <c r="S19" s="42">
        <f>SUM(P19)</f>
        <v>111843</v>
      </c>
      <c r="T19" s="39"/>
      <c r="U19" s="19"/>
      <c r="V19" s="19"/>
      <c r="W19" s="19"/>
      <c r="X19" s="19"/>
      <c r="Y19" s="19"/>
    </row>
    <row r="20" spans="1:25" x14ac:dyDescent="0.25">
      <c r="A20" s="11" t="s">
        <v>22</v>
      </c>
      <c r="B20" s="9"/>
      <c r="C20" s="9" t="s">
        <v>24</v>
      </c>
      <c r="D20" s="9"/>
      <c r="E20" s="9">
        <v>16300463770</v>
      </c>
      <c r="F20" s="57"/>
      <c r="G20" s="55">
        <v>40261</v>
      </c>
      <c r="H20" s="55">
        <v>40261</v>
      </c>
      <c r="I20" s="112">
        <v>120783</v>
      </c>
      <c r="J20" s="140"/>
      <c r="K20" s="141"/>
      <c r="L20" s="55">
        <v>40261</v>
      </c>
      <c r="M20" s="112">
        <v>120783</v>
      </c>
      <c r="N20" s="113"/>
      <c r="O20" s="114"/>
      <c r="P20" s="30">
        <v>40261</v>
      </c>
      <c r="Q20" s="31"/>
      <c r="R20" s="37"/>
      <c r="S20" s="42">
        <f>SUM(P20)</f>
        <v>40261</v>
      </c>
      <c r="T20" s="39"/>
      <c r="U20" s="19"/>
      <c r="V20" s="19"/>
      <c r="W20" s="19"/>
      <c r="X20" s="19"/>
      <c r="Y20" s="19"/>
    </row>
    <row r="21" spans="1:25" x14ac:dyDescent="0.25">
      <c r="A21" s="11" t="s">
        <v>25</v>
      </c>
      <c r="B21" s="32">
        <v>28671702</v>
      </c>
      <c r="C21" s="9">
        <v>2</v>
      </c>
      <c r="D21" s="9"/>
      <c r="E21" s="9">
        <v>16300482926</v>
      </c>
      <c r="F21" s="60"/>
      <c r="G21" s="112">
        <v>384840</v>
      </c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44"/>
      <c r="S21" s="42"/>
      <c r="T21" s="39"/>
      <c r="U21" s="19"/>
      <c r="V21" s="19"/>
      <c r="W21" s="19"/>
      <c r="X21" s="19"/>
      <c r="Y21" s="19"/>
    </row>
    <row r="22" spans="1:25" x14ac:dyDescent="0.25">
      <c r="A22" s="11" t="s">
        <v>26</v>
      </c>
      <c r="B22" s="9"/>
      <c r="C22" s="9">
        <v>42</v>
      </c>
      <c r="D22" s="9"/>
      <c r="E22" s="9" t="s">
        <v>6</v>
      </c>
      <c r="F22" s="60"/>
      <c r="G22" s="112">
        <v>165240</v>
      </c>
      <c r="H22" s="131"/>
      <c r="I22" s="131"/>
      <c r="J22" s="131"/>
      <c r="K22" s="131"/>
      <c r="L22" s="132"/>
      <c r="M22" s="31"/>
      <c r="N22" s="31"/>
      <c r="O22" s="31"/>
      <c r="P22" s="31"/>
      <c r="Q22" s="31"/>
      <c r="R22" s="37"/>
      <c r="S22" s="42">
        <f>M22+N22+O22+P22</f>
        <v>0</v>
      </c>
      <c r="T22" s="39"/>
      <c r="U22" s="19"/>
      <c r="V22" s="19"/>
      <c r="W22" s="19"/>
      <c r="X22" s="19"/>
      <c r="Y22" s="19"/>
    </row>
    <row r="23" spans="1:25" x14ac:dyDescent="0.25">
      <c r="A23" s="11" t="s">
        <v>27</v>
      </c>
      <c r="B23" s="9"/>
      <c r="C23" s="9" t="s">
        <v>28</v>
      </c>
      <c r="D23" s="9"/>
      <c r="E23" s="9">
        <v>16300456635</v>
      </c>
      <c r="F23" s="57"/>
      <c r="G23" s="30">
        <v>44850</v>
      </c>
      <c r="H23" s="30">
        <v>44850</v>
      </c>
      <c r="I23" s="30">
        <v>44850</v>
      </c>
      <c r="J23" s="30">
        <v>44850</v>
      </c>
      <c r="K23" s="30">
        <v>44850</v>
      </c>
      <c r="L23" s="30">
        <v>44850</v>
      </c>
      <c r="M23" s="30">
        <v>44850</v>
      </c>
      <c r="N23" s="30">
        <v>44850</v>
      </c>
      <c r="O23" s="30">
        <v>44850</v>
      </c>
      <c r="P23" s="30">
        <v>44850</v>
      </c>
      <c r="Q23" s="31"/>
      <c r="R23" s="37"/>
      <c r="S23" s="42">
        <f>T23+U23+V23+W23+X23+Y23+G23+H23+I23+J23+K23+L23+M23+N23+O23+P23</f>
        <v>711000</v>
      </c>
      <c r="T23" s="54"/>
      <c r="U23" s="18">
        <f>1407.5*12</f>
        <v>16890</v>
      </c>
      <c r="V23" s="18">
        <f>1407.5*12</f>
        <v>16890</v>
      </c>
      <c r="W23" s="18"/>
      <c r="X23" s="18">
        <f>14300*6</f>
        <v>85800</v>
      </c>
      <c r="Y23" s="18">
        <f>23820*6</f>
        <v>142920</v>
      </c>
    </row>
    <row r="24" spans="1:25" x14ac:dyDescent="0.25">
      <c r="A24" s="11" t="s">
        <v>29</v>
      </c>
      <c r="B24" s="9"/>
      <c r="C24" s="9" t="s">
        <v>30</v>
      </c>
      <c r="D24" s="9"/>
      <c r="E24" s="9">
        <v>16300474872</v>
      </c>
      <c r="F24" s="60"/>
      <c r="G24" s="112">
        <v>566481.87</v>
      </c>
      <c r="H24" s="140"/>
      <c r="I24" s="140"/>
      <c r="J24" s="140"/>
      <c r="K24" s="140"/>
      <c r="L24" s="141"/>
      <c r="M24" s="112">
        <v>566481</v>
      </c>
      <c r="N24" s="131"/>
      <c r="O24" s="131"/>
      <c r="P24" s="131"/>
      <c r="Q24" s="131"/>
      <c r="R24" s="144"/>
      <c r="S24" s="42"/>
      <c r="T24" s="39"/>
      <c r="U24" s="19"/>
      <c r="V24" s="19"/>
      <c r="W24" s="19"/>
      <c r="X24" s="19"/>
      <c r="Y24" s="19"/>
    </row>
    <row r="25" spans="1:25" x14ac:dyDescent="0.25">
      <c r="A25" s="11" t="s">
        <v>31</v>
      </c>
      <c r="B25" s="9"/>
      <c r="C25" s="9">
        <v>30</v>
      </c>
      <c r="D25" s="9"/>
      <c r="E25" s="9">
        <v>16300458335</v>
      </c>
      <c r="F25" s="57"/>
      <c r="G25" s="64">
        <f>232052+4500</f>
        <v>236552</v>
      </c>
      <c r="H25" s="64">
        <f>232052+12000</f>
        <v>244052</v>
      </c>
      <c r="I25" s="64">
        <f>244052+12000</f>
        <v>256052</v>
      </c>
      <c r="J25" s="64">
        <f>232052+12000</f>
        <v>244052</v>
      </c>
      <c r="K25" s="64">
        <v>232052</v>
      </c>
      <c r="L25" s="64">
        <v>232050</v>
      </c>
      <c r="M25" s="64">
        <v>232050</v>
      </c>
      <c r="N25" s="64">
        <v>232050</v>
      </c>
      <c r="O25" s="64">
        <v>232052</v>
      </c>
      <c r="P25" s="66">
        <v>232050</v>
      </c>
      <c r="Q25" s="31"/>
      <c r="R25" s="37"/>
      <c r="S25" s="42"/>
      <c r="T25" s="39"/>
      <c r="U25" s="19"/>
      <c r="V25" s="19"/>
      <c r="W25" s="19"/>
      <c r="X25" s="19"/>
      <c r="Y25" s="19"/>
    </row>
    <row r="26" spans="1:25" x14ac:dyDescent="0.25">
      <c r="A26" s="11" t="s">
        <v>31</v>
      </c>
      <c r="B26" s="9"/>
      <c r="C26" s="9">
        <v>29</v>
      </c>
      <c r="D26" s="9"/>
      <c r="E26" s="9">
        <v>16300459057</v>
      </c>
      <c r="F26" s="57"/>
      <c r="G26" s="90">
        <v>143593</v>
      </c>
      <c r="H26" s="90">
        <v>143593</v>
      </c>
      <c r="I26" s="90">
        <v>143593</v>
      </c>
      <c r="J26" s="90">
        <v>143593</v>
      </c>
      <c r="K26" s="90">
        <v>143593</v>
      </c>
      <c r="L26" s="90">
        <v>143593</v>
      </c>
      <c r="M26" s="90">
        <v>143593</v>
      </c>
      <c r="N26" s="90">
        <v>143593</v>
      </c>
      <c r="O26" s="90">
        <v>143593</v>
      </c>
      <c r="P26" s="30">
        <v>143593</v>
      </c>
      <c r="Q26" s="31"/>
      <c r="R26" s="37"/>
      <c r="S26" s="42"/>
      <c r="T26" s="39"/>
      <c r="U26" s="19"/>
      <c r="V26" s="19"/>
      <c r="W26" s="19"/>
      <c r="X26" s="19"/>
      <c r="Y26" s="19"/>
    </row>
    <row r="27" spans="1:25" x14ac:dyDescent="0.25">
      <c r="A27" s="11" t="s">
        <v>32</v>
      </c>
      <c r="B27" s="9"/>
      <c r="C27" s="9">
        <v>65</v>
      </c>
      <c r="D27" s="9"/>
      <c r="E27" s="9">
        <v>16300509144</v>
      </c>
      <c r="F27" s="60"/>
      <c r="G27" s="112">
        <v>213138</v>
      </c>
      <c r="H27" s="140"/>
      <c r="I27" s="140"/>
      <c r="J27" s="140"/>
      <c r="K27" s="140"/>
      <c r="L27" s="141"/>
      <c r="M27" s="112">
        <v>236820</v>
      </c>
      <c r="N27" s="113"/>
      <c r="O27" s="113"/>
      <c r="P27" s="113"/>
      <c r="Q27" s="113"/>
      <c r="R27" s="115"/>
      <c r="S27" s="42"/>
      <c r="T27" s="39"/>
      <c r="U27" s="19"/>
      <c r="V27" s="19"/>
      <c r="W27" s="19"/>
      <c r="X27" s="19"/>
      <c r="Y27" s="19"/>
    </row>
    <row r="28" spans="1:25" x14ac:dyDescent="0.25">
      <c r="A28" s="11" t="s">
        <v>33</v>
      </c>
      <c r="B28" s="9"/>
      <c r="C28" s="9">
        <v>63</v>
      </c>
      <c r="D28" s="9"/>
      <c r="E28" s="9">
        <v>16300508948</v>
      </c>
      <c r="F28" s="57"/>
      <c r="G28" s="112">
        <v>367502.4</v>
      </c>
      <c r="H28" s="113"/>
      <c r="I28" s="113"/>
      <c r="J28" s="113"/>
      <c r="K28" s="113"/>
      <c r="L28" s="113"/>
      <c r="M28" s="113"/>
      <c r="N28" s="114"/>
      <c r="O28" s="30">
        <v>34030</v>
      </c>
      <c r="P28" s="30">
        <v>34030</v>
      </c>
      <c r="Q28" s="31"/>
      <c r="R28" s="37"/>
      <c r="S28" s="42">
        <f>SUM(O28:R28)</f>
        <v>68060</v>
      </c>
      <c r="T28" s="39"/>
      <c r="U28" s="19"/>
      <c r="V28" s="19"/>
      <c r="W28" s="19"/>
      <c r="X28" s="19"/>
      <c r="Y28" s="19"/>
    </row>
    <row r="29" spans="1:25" x14ac:dyDescent="0.25">
      <c r="A29" s="11" t="s">
        <v>34</v>
      </c>
      <c r="B29" s="9"/>
      <c r="C29" s="9">
        <v>7</v>
      </c>
      <c r="D29" s="9" t="s">
        <v>5</v>
      </c>
      <c r="E29" s="9" t="s">
        <v>6</v>
      </c>
      <c r="F29" s="60"/>
      <c r="G29" s="112">
        <v>100440</v>
      </c>
      <c r="H29" s="140"/>
      <c r="I29" s="140"/>
      <c r="J29" s="140"/>
      <c r="K29" s="140"/>
      <c r="L29" s="141"/>
      <c r="M29" s="112">
        <v>100440</v>
      </c>
      <c r="N29" s="131"/>
      <c r="O29" s="131"/>
      <c r="P29" s="131"/>
      <c r="Q29" s="131"/>
      <c r="R29" s="144"/>
      <c r="S29" s="42"/>
      <c r="T29" s="39"/>
      <c r="U29" s="19"/>
      <c r="V29" s="19"/>
      <c r="W29" s="19"/>
      <c r="X29" s="19"/>
      <c r="Y29" s="19"/>
    </row>
    <row r="30" spans="1:25" x14ac:dyDescent="0.25">
      <c r="A30" s="11" t="s">
        <v>35</v>
      </c>
      <c r="B30" s="32">
        <v>25695752</v>
      </c>
      <c r="C30" s="9">
        <v>49</v>
      </c>
      <c r="D30" s="9"/>
      <c r="E30" s="9" t="s">
        <v>6</v>
      </c>
      <c r="F30" s="60"/>
      <c r="G30" s="112">
        <v>100440</v>
      </c>
      <c r="H30" s="140"/>
      <c r="I30" s="140"/>
      <c r="J30" s="140"/>
      <c r="K30" s="140"/>
      <c r="L30" s="141"/>
      <c r="M30" s="30">
        <v>18600</v>
      </c>
      <c r="N30" s="30">
        <v>18600</v>
      </c>
      <c r="O30" s="30">
        <v>18600</v>
      </c>
      <c r="P30" s="30">
        <v>18600</v>
      </c>
      <c r="Q30" s="31"/>
      <c r="R30" s="37"/>
      <c r="S30" s="42">
        <f>SUM(M30:R30)</f>
        <v>74400</v>
      </c>
      <c r="T30" s="39"/>
      <c r="U30" s="19"/>
      <c r="V30" s="19"/>
      <c r="W30" s="19"/>
      <c r="X30" s="19"/>
      <c r="Y30" s="19"/>
    </row>
    <row r="31" spans="1:25" x14ac:dyDescent="0.25">
      <c r="A31" s="11" t="s">
        <v>36</v>
      </c>
      <c r="B31" s="9"/>
      <c r="C31" s="9">
        <v>56</v>
      </c>
      <c r="D31" s="9"/>
      <c r="E31" s="9">
        <v>16300509250</v>
      </c>
      <c r="F31" s="57"/>
      <c r="G31" s="30">
        <v>40660</v>
      </c>
      <c r="H31" s="30">
        <v>40660</v>
      </c>
      <c r="I31" s="30">
        <v>40660</v>
      </c>
      <c r="J31" s="30">
        <v>40660</v>
      </c>
      <c r="K31" s="30">
        <v>40660</v>
      </c>
      <c r="L31" s="30">
        <v>40660</v>
      </c>
      <c r="M31" s="30">
        <v>40660</v>
      </c>
      <c r="N31" s="30">
        <v>40660</v>
      </c>
      <c r="O31" s="30">
        <v>40660</v>
      </c>
      <c r="P31" s="30">
        <v>40660</v>
      </c>
      <c r="Q31" s="31"/>
      <c r="R31" s="37"/>
      <c r="S31" s="42">
        <f>R31+Q31+P31+O31+N31+M31+L31+K31+J31+I31+H31+G31+X31+Y31</f>
        <v>453220</v>
      </c>
      <c r="T31" s="39"/>
      <c r="U31" s="19"/>
      <c r="V31" s="19"/>
      <c r="W31" s="19"/>
      <c r="X31" s="18">
        <f>1400*6</f>
        <v>8400</v>
      </c>
      <c r="Y31" s="18">
        <f>6370*6</f>
        <v>38220</v>
      </c>
    </row>
    <row r="32" spans="1:25" ht="14.25" customHeight="1" x14ac:dyDescent="0.25">
      <c r="A32" s="11" t="s">
        <v>37</v>
      </c>
      <c r="B32" s="32">
        <v>21780345</v>
      </c>
      <c r="C32" s="9">
        <v>55</v>
      </c>
      <c r="D32" s="9"/>
      <c r="E32" s="9"/>
      <c r="F32" s="57"/>
      <c r="G32" s="30">
        <v>18600</v>
      </c>
      <c r="H32" s="30">
        <v>18600</v>
      </c>
      <c r="I32" s="30">
        <v>18600</v>
      </c>
      <c r="J32" s="30">
        <v>18600</v>
      </c>
      <c r="K32" s="30">
        <v>18600</v>
      </c>
      <c r="L32" s="30">
        <v>18600</v>
      </c>
      <c r="M32" s="30">
        <v>18600</v>
      </c>
      <c r="N32" s="30">
        <v>18600</v>
      </c>
      <c r="O32" s="30">
        <v>18600</v>
      </c>
      <c r="P32" s="30">
        <v>18600</v>
      </c>
      <c r="Q32" s="31"/>
      <c r="R32" s="37"/>
      <c r="S32" s="42">
        <f>SUM(G32:R32)</f>
        <v>186000</v>
      </c>
      <c r="T32" s="39"/>
      <c r="U32" s="19"/>
      <c r="V32" s="19"/>
      <c r="W32" s="19"/>
      <c r="X32" s="19"/>
      <c r="Y32" s="19"/>
    </row>
    <row r="33" spans="1:25" x14ac:dyDescent="0.25">
      <c r="A33" s="11" t="s">
        <v>38</v>
      </c>
      <c r="B33" s="32">
        <v>27968418</v>
      </c>
      <c r="C33" s="4" t="s">
        <v>39</v>
      </c>
      <c r="D33" s="9"/>
      <c r="E33" s="9">
        <v>16300465885</v>
      </c>
      <c r="F33" s="57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7"/>
      <c r="S33" s="42"/>
      <c r="T33" s="39"/>
      <c r="U33" s="19"/>
      <c r="V33" s="19"/>
      <c r="W33" s="19"/>
      <c r="X33" s="19"/>
      <c r="Y33" s="19"/>
    </row>
    <row r="34" spans="1:25" x14ac:dyDescent="0.25">
      <c r="A34" s="11" t="s">
        <v>40</v>
      </c>
      <c r="B34" s="32">
        <v>28238026</v>
      </c>
      <c r="C34" s="9">
        <v>7</v>
      </c>
      <c r="D34" s="9" t="s">
        <v>41</v>
      </c>
      <c r="E34" s="9" t="s">
        <v>6</v>
      </c>
      <c r="F34" s="57"/>
      <c r="G34" s="30">
        <v>18600</v>
      </c>
      <c r="H34" s="30">
        <v>18600</v>
      </c>
      <c r="I34" s="30">
        <v>18600</v>
      </c>
      <c r="J34" s="30">
        <v>18600</v>
      </c>
      <c r="K34" s="30">
        <v>18600</v>
      </c>
      <c r="L34" s="30">
        <v>18600</v>
      </c>
      <c r="M34" s="30">
        <v>18600</v>
      </c>
      <c r="N34" s="30">
        <v>18600</v>
      </c>
      <c r="O34" s="30">
        <v>18600</v>
      </c>
      <c r="P34" s="30">
        <v>18600</v>
      </c>
      <c r="Q34" s="31"/>
      <c r="R34" s="37"/>
      <c r="S34" s="42">
        <f>SUM(G34:R34)</f>
        <v>186000</v>
      </c>
      <c r="T34" s="39"/>
      <c r="U34" s="19"/>
      <c r="V34" s="19"/>
      <c r="W34" s="19"/>
      <c r="X34" s="19"/>
      <c r="Y34" s="19"/>
    </row>
    <row r="35" spans="1:25" x14ac:dyDescent="0.25">
      <c r="A35" s="11" t="s">
        <v>42</v>
      </c>
      <c r="B35" s="32">
        <v>33043390</v>
      </c>
      <c r="C35" s="9">
        <v>2</v>
      </c>
      <c r="D35" s="9" t="s">
        <v>15</v>
      </c>
      <c r="E35" s="9" t="s">
        <v>6</v>
      </c>
      <c r="F35" s="57"/>
      <c r="G35" s="30">
        <v>18600</v>
      </c>
      <c r="H35" s="30">
        <v>18600</v>
      </c>
      <c r="I35" s="30">
        <v>18600</v>
      </c>
      <c r="J35" s="30">
        <v>18600</v>
      </c>
      <c r="K35" s="30">
        <v>18600</v>
      </c>
      <c r="L35" s="30">
        <v>18600</v>
      </c>
      <c r="M35" s="30">
        <v>18600</v>
      </c>
      <c r="N35" s="30">
        <v>18600</v>
      </c>
      <c r="O35" s="30">
        <v>18600</v>
      </c>
      <c r="P35" s="30">
        <v>18600</v>
      </c>
      <c r="Q35" s="31"/>
      <c r="R35" s="37"/>
      <c r="S35" s="42">
        <f>Y35+P35+O35+N35+G35+H35+I35+J35+K35+L35+M35</f>
        <v>224880</v>
      </c>
      <c r="T35" s="39"/>
      <c r="U35" s="19"/>
      <c r="V35" s="19"/>
      <c r="W35" s="19"/>
      <c r="X35" s="19"/>
      <c r="Y35" s="18">
        <f>6480*6</f>
        <v>38880</v>
      </c>
    </row>
    <row r="36" spans="1:25" x14ac:dyDescent="0.25">
      <c r="A36" s="11" t="s">
        <v>43</v>
      </c>
      <c r="B36" s="9" t="s">
        <v>678</v>
      </c>
      <c r="C36" s="9">
        <v>6</v>
      </c>
      <c r="D36" s="9"/>
      <c r="E36" s="9">
        <v>16300470167</v>
      </c>
      <c r="F36" s="57"/>
      <c r="G36" s="30">
        <v>23740</v>
      </c>
      <c r="H36" s="30">
        <v>23740</v>
      </c>
      <c r="I36" s="30">
        <v>23740</v>
      </c>
      <c r="J36" s="30">
        <v>23740</v>
      </c>
      <c r="K36" s="30">
        <v>23740</v>
      </c>
      <c r="L36" s="30">
        <v>23740</v>
      </c>
      <c r="M36" s="30">
        <v>23740</v>
      </c>
      <c r="N36" s="30">
        <v>23740</v>
      </c>
      <c r="O36" s="30">
        <v>23740</v>
      </c>
      <c r="P36" s="30">
        <v>23740</v>
      </c>
      <c r="Q36" s="31"/>
      <c r="R36" s="37"/>
      <c r="S36" s="42">
        <f>W36+X36+Y36+R36+Q36+P36+O36+N36+M36+L36+K36+J36+I36+H36+G36</f>
        <v>358600</v>
      </c>
      <c r="T36" s="39"/>
      <c r="U36" s="19"/>
      <c r="V36" s="19"/>
      <c r="W36" s="18">
        <f>1800*12</f>
        <v>21600</v>
      </c>
      <c r="X36" s="18">
        <f>5200*6</f>
        <v>31200</v>
      </c>
      <c r="Y36" s="18">
        <f>11400*6</f>
        <v>68400</v>
      </c>
    </row>
    <row r="37" spans="1:25" x14ac:dyDescent="0.25">
      <c r="A37" s="11" t="s">
        <v>44</v>
      </c>
      <c r="B37" s="32">
        <v>18104086</v>
      </c>
      <c r="C37" s="9">
        <v>27</v>
      </c>
      <c r="D37" s="9"/>
      <c r="E37" s="110">
        <v>16300470573</v>
      </c>
      <c r="F37" s="57"/>
      <c r="G37" s="30">
        <v>18600</v>
      </c>
      <c r="H37" s="30">
        <v>18600</v>
      </c>
      <c r="I37" s="30">
        <v>18600</v>
      </c>
      <c r="J37" s="30">
        <v>18600</v>
      </c>
      <c r="K37" s="30">
        <v>18600</v>
      </c>
      <c r="L37" s="30">
        <v>18600</v>
      </c>
      <c r="M37" s="30">
        <v>18600</v>
      </c>
      <c r="N37" s="30">
        <v>18600</v>
      </c>
      <c r="O37" s="30">
        <v>18600</v>
      </c>
      <c r="P37" s="30">
        <v>18600</v>
      </c>
      <c r="Q37" s="31"/>
      <c r="R37" s="37"/>
      <c r="S37" s="42">
        <f>R37+Q37+P37+O37+N37+M37+L37+K37+J37+I37+H37+G37+W37+X37+Y37</f>
        <v>269700</v>
      </c>
      <c r="T37" s="39"/>
      <c r="U37" s="19"/>
      <c r="V37" s="19"/>
      <c r="W37" s="18">
        <f>2450*12</f>
        <v>29400</v>
      </c>
      <c r="X37" s="18">
        <f>1950*6</f>
        <v>11700</v>
      </c>
      <c r="Y37" s="18">
        <f>7100*6</f>
        <v>42600</v>
      </c>
    </row>
    <row r="38" spans="1:25" x14ac:dyDescent="0.25">
      <c r="A38" s="11" t="s">
        <v>45</v>
      </c>
      <c r="B38" s="32">
        <v>13812063</v>
      </c>
      <c r="C38" s="9">
        <v>20</v>
      </c>
      <c r="D38" s="9"/>
      <c r="E38" s="111">
        <v>163004626820000</v>
      </c>
      <c r="F38" s="57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7"/>
      <c r="S38" s="42"/>
      <c r="T38" s="39"/>
      <c r="U38" s="19"/>
      <c r="V38" s="19"/>
      <c r="W38" s="19"/>
      <c r="X38" s="19"/>
      <c r="Y38" s="19"/>
    </row>
    <row r="39" spans="1:25" x14ac:dyDescent="0.25">
      <c r="A39" s="11" t="s">
        <v>46</v>
      </c>
      <c r="B39" s="32">
        <v>28212979</v>
      </c>
      <c r="C39" s="9">
        <v>38</v>
      </c>
      <c r="D39" s="9"/>
      <c r="E39" s="110">
        <v>16300470540</v>
      </c>
      <c r="F39" s="57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7"/>
      <c r="S39" s="42"/>
      <c r="T39" s="39"/>
      <c r="U39" s="19"/>
      <c r="V39" s="19"/>
      <c r="W39" s="19"/>
      <c r="X39" s="19"/>
      <c r="Y39" s="19"/>
    </row>
    <row r="40" spans="1:25" x14ac:dyDescent="0.25">
      <c r="A40" s="11" t="s">
        <v>47</v>
      </c>
      <c r="B40" s="32">
        <v>20122138</v>
      </c>
      <c r="C40" s="9" t="s">
        <v>48</v>
      </c>
      <c r="D40" s="9"/>
      <c r="E40" s="110">
        <v>16300476419</v>
      </c>
      <c r="F40" s="57"/>
      <c r="G40" s="30">
        <v>62890</v>
      </c>
      <c r="H40" s="30">
        <v>62890</v>
      </c>
      <c r="I40" s="30">
        <v>62890</v>
      </c>
      <c r="J40" s="30">
        <v>62890</v>
      </c>
      <c r="K40" s="30">
        <v>62890</v>
      </c>
      <c r="L40" s="30">
        <v>62890</v>
      </c>
      <c r="M40" s="30">
        <v>62890</v>
      </c>
      <c r="N40" s="30">
        <v>62890</v>
      </c>
      <c r="O40" s="30">
        <v>62890</v>
      </c>
      <c r="P40" s="30">
        <v>62890</v>
      </c>
      <c r="Q40" s="31"/>
      <c r="R40" s="37"/>
      <c r="S40" s="42">
        <f>R40+Q40+P40+O40+N40+M40+L40+K40+J40+I40+H40+G40+Y40+X40+W40+V40+U40+T40</f>
        <v>1034620</v>
      </c>
      <c r="T40" s="54"/>
      <c r="U40" s="18"/>
      <c r="V40" s="18"/>
      <c r="W40" s="18">
        <f>5560*12</f>
        <v>66720</v>
      </c>
      <c r="X40" s="18">
        <f>22100*6</f>
        <v>132600</v>
      </c>
      <c r="Y40" s="18">
        <f>34400*6</f>
        <v>206400</v>
      </c>
    </row>
    <row r="41" spans="1:25" x14ac:dyDescent="0.25">
      <c r="A41" s="11" t="s">
        <v>49</v>
      </c>
      <c r="B41" s="9"/>
      <c r="C41" s="9">
        <v>5</v>
      </c>
      <c r="D41" s="9"/>
      <c r="E41" s="9">
        <v>16300466090</v>
      </c>
      <c r="F41" s="57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1"/>
      <c r="R41" s="37"/>
      <c r="S41" s="42"/>
      <c r="T41" s="54"/>
      <c r="U41" s="18"/>
      <c r="V41" s="18"/>
      <c r="W41" s="18"/>
      <c r="X41" s="18"/>
      <c r="Y41" s="18"/>
    </row>
    <row r="42" spans="1:25" x14ac:dyDescent="0.25">
      <c r="A42" s="11" t="s">
        <v>50</v>
      </c>
      <c r="B42" s="32">
        <v>36669325</v>
      </c>
      <c r="C42" s="9">
        <v>9</v>
      </c>
      <c r="D42" s="9"/>
      <c r="E42" s="9">
        <v>16300482412</v>
      </c>
      <c r="F42" s="57"/>
      <c r="G42" s="30">
        <v>24200</v>
      </c>
      <c r="H42" s="30">
        <v>24200</v>
      </c>
      <c r="I42" s="30">
        <v>24200</v>
      </c>
      <c r="J42" s="30">
        <v>24200</v>
      </c>
      <c r="K42" s="30">
        <v>24200</v>
      </c>
      <c r="L42" s="30">
        <v>24200</v>
      </c>
      <c r="M42" s="30">
        <v>24200</v>
      </c>
      <c r="N42" s="30">
        <v>24200</v>
      </c>
      <c r="O42" s="30">
        <v>24200</v>
      </c>
      <c r="P42" s="30">
        <v>24200</v>
      </c>
      <c r="Q42" s="31"/>
      <c r="R42" s="37"/>
      <c r="S42" s="42">
        <f>R42+Q42+P42+O42+N42+M42+L42+K42+J42+I42+H42+G42+T42+U42+V42+W42+X42+Y42</f>
        <v>412160</v>
      </c>
      <c r="T42" s="54"/>
      <c r="U42" s="18"/>
      <c r="V42" s="18"/>
      <c r="W42" s="18">
        <f>1880*12</f>
        <v>22560</v>
      </c>
      <c r="X42" s="18">
        <f>5400*6</f>
        <v>32400</v>
      </c>
      <c r="Y42" s="18">
        <f>19200*6</f>
        <v>115200</v>
      </c>
    </row>
    <row r="43" spans="1:25" x14ac:dyDescent="0.25">
      <c r="A43" s="11" t="s">
        <v>51</v>
      </c>
      <c r="B43" s="9"/>
      <c r="C43" s="9">
        <v>40</v>
      </c>
      <c r="D43" s="9"/>
      <c r="E43" s="9">
        <v>16300470635</v>
      </c>
      <c r="F43" s="57"/>
      <c r="G43" s="30">
        <v>24570</v>
      </c>
      <c r="H43" s="30">
        <v>24570</v>
      </c>
      <c r="I43" s="30">
        <v>24570</v>
      </c>
      <c r="J43" s="30">
        <v>24570</v>
      </c>
      <c r="K43" s="30">
        <v>24570</v>
      </c>
      <c r="L43" s="30">
        <v>24570</v>
      </c>
      <c r="M43" s="30">
        <v>24570</v>
      </c>
      <c r="N43" s="30">
        <v>24570</v>
      </c>
      <c r="O43" s="30">
        <v>24570</v>
      </c>
      <c r="P43" s="30">
        <v>24570</v>
      </c>
      <c r="Q43" s="31"/>
      <c r="R43" s="37"/>
      <c r="S43" s="42">
        <f>R43+Q43+P43+O43+N43+M43+L43+K43+J43+I43+H43+G43+T43+U43+V43+W43+X43+Y43</f>
        <v>364020</v>
      </c>
      <c r="T43" s="39"/>
      <c r="U43" s="19"/>
      <c r="V43" s="19"/>
      <c r="W43" s="18">
        <f>2050*12</f>
        <v>24600</v>
      </c>
      <c r="X43" s="18">
        <f>5560*6</f>
        <v>33360</v>
      </c>
      <c r="Y43" s="18">
        <f>10060*6</f>
        <v>60360</v>
      </c>
    </row>
    <row r="44" spans="1:25" x14ac:dyDescent="0.25">
      <c r="A44" s="11" t="s">
        <v>53</v>
      </c>
      <c r="B44" s="9" t="s">
        <v>680</v>
      </c>
      <c r="C44" s="9">
        <v>1</v>
      </c>
      <c r="D44" s="9" t="s">
        <v>52</v>
      </c>
      <c r="E44" s="9" t="s">
        <v>6</v>
      </c>
      <c r="F44" s="57"/>
      <c r="G44" s="30">
        <v>18600</v>
      </c>
      <c r="H44" s="30">
        <v>18600</v>
      </c>
      <c r="I44" s="30">
        <v>18600</v>
      </c>
      <c r="J44" s="30">
        <v>18600</v>
      </c>
      <c r="K44" s="30">
        <v>18600</v>
      </c>
      <c r="L44" s="30">
        <v>18600</v>
      </c>
      <c r="M44" s="30">
        <v>18600</v>
      </c>
      <c r="N44" s="30">
        <v>18600</v>
      </c>
      <c r="O44" s="30">
        <v>18600</v>
      </c>
      <c r="P44" s="30">
        <v>18600</v>
      </c>
      <c r="Q44" s="31"/>
      <c r="R44" s="37"/>
      <c r="S44" s="42"/>
      <c r="T44" s="39"/>
      <c r="U44" s="19"/>
      <c r="V44" s="19"/>
      <c r="W44" s="19"/>
      <c r="X44" s="19"/>
      <c r="Y44" s="19"/>
    </row>
    <row r="45" spans="1:25" x14ac:dyDescent="0.25">
      <c r="A45" s="11" t="s">
        <v>54</v>
      </c>
      <c r="B45" s="9"/>
      <c r="C45" s="9" t="s">
        <v>55</v>
      </c>
      <c r="D45" s="9"/>
      <c r="E45" s="9">
        <v>16300455842</v>
      </c>
      <c r="F45" s="57"/>
      <c r="G45" s="30">
        <v>160800</v>
      </c>
      <c r="H45" s="30">
        <v>160800</v>
      </c>
      <c r="I45" s="30">
        <v>160800</v>
      </c>
      <c r="J45" s="30">
        <v>160800</v>
      </c>
      <c r="K45" s="30">
        <v>160800</v>
      </c>
      <c r="L45" s="30">
        <v>160800</v>
      </c>
      <c r="M45" s="30">
        <v>160800</v>
      </c>
      <c r="N45" s="30">
        <v>160800</v>
      </c>
      <c r="O45" s="30">
        <v>160800</v>
      </c>
      <c r="P45" s="30">
        <v>160800</v>
      </c>
      <c r="Q45" s="31"/>
      <c r="R45" s="37"/>
      <c r="S45" s="42">
        <f>P45+O45+N45+M45+L45+K45+J45+I45+H45+G45+W45+X45+Y45</f>
        <v>2621400</v>
      </c>
      <c r="T45" s="39"/>
      <c r="U45" s="19"/>
      <c r="V45" s="19"/>
      <c r="W45" s="18">
        <f>11700*6</f>
        <v>70200</v>
      </c>
      <c r="X45" s="18">
        <f>65200*6</f>
        <v>391200</v>
      </c>
      <c r="Y45" s="18">
        <f>92000*6</f>
        <v>552000</v>
      </c>
    </row>
    <row r="46" spans="1:25" x14ac:dyDescent="0.25">
      <c r="A46" s="11" t="s">
        <v>56</v>
      </c>
      <c r="B46" s="9"/>
      <c r="C46" s="9">
        <v>66</v>
      </c>
      <c r="D46" s="9"/>
      <c r="E46" s="9" t="s">
        <v>6</v>
      </c>
      <c r="F46" s="57"/>
      <c r="G46" s="30">
        <v>18600</v>
      </c>
      <c r="H46" s="30">
        <v>18600</v>
      </c>
      <c r="I46" s="30">
        <v>18600</v>
      </c>
      <c r="J46" s="30">
        <v>18600</v>
      </c>
      <c r="K46" s="30">
        <v>18600</v>
      </c>
      <c r="L46" s="30">
        <v>18600</v>
      </c>
      <c r="M46" s="30">
        <v>18600</v>
      </c>
      <c r="N46" s="30">
        <v>18600</v>
      </c>
      <c r="O46" s="30">
        <v>18600</v>
      </c>
      <c r="P46" s="30">
        <v>18600</v>
      </c>
      <c r="Q46" s="31"/>
      <c r="R46" s="37"/>
      <c r="S46" s="42"/>
      <c r="T46" s="39"/>
      <c r="U46" s="19"/>
      <c r="V46" s="19"/>
      <c r="W46" s="19"/>
      <c r="X46" s="19"/>
      <c r="Y46" s="19"/>
    </row>
    <row r="47" spans="1:25" x14ac:dyDescent="0.25">
      <c r="A47" s="11" t="s">
        <v>57</v>
      </c>
      <c r="B47" s="9"/>
      <c r="C47" s="9" t="s">
        <v>58</v>
      </c>
      <c r="D47" s="9"/>
      <c r="E47" s="9">
        <v>16300485620</v>
      </c>
      <c r="F47" s="57"/>
      <c r="G47" s="112">
        <v>486780</v>
      </c>
      <c r="H47" s="113"/>
      <c r="I47" s="114"/>
      <c r="J47" s="112">
        <v>738700</v>
      </c>
      <c r="K47" s="131"/>
      <c r="L47" s="132"/>
      <c r="M47" s="30">
        <f>150260+96000</f>
        <v>246260</v>
      </c>
      <c r="N47" s="30">
        <f>150260+96000</f>
        <v>246260</v>
      </c>
      <c r="O47" s="30">
        <f>150260+96000</f>
        <v>246260</v>
      </c>
      <c r="P47" s="30">
        <f>150260+96000</f>
        <v>246260</v>
      </c>
      <c r="Q47" s="31"/>
      <c r="R47" s="37"/>
      <c r="S47" s="42"/>
      <c r="T47" s="39"/>
      <c r="U47" s="19"/>
      <c r="V47" s="19"/>
      <c r="W47" s="19"/>
      <c r="X47" s="19"/>
      <c r="Y47" s="19"/>
    </row>
    <row r="48" spans="1:25" x14ac:dyDescent="0.25">
      <c r="A48" s="11" t="s">
        <v>59</v>
      </c>
      <c r="B48" s="9" t="s">
        <v>681</v>
      </c>
      <c r="C48" s="9">
        <v>62</v>
      </c>
      <c r="D48" s="9"/>
      <c r="E48" s="9">
        <v>16300508851</v>
      </c>
      <c r="F48" s="57"/>
      <c r="G48" s="30">
        <v>26680</v>
      </c>
      <c r="H48" s="30">
        <v>26680</v>
      </c>
      <c r="I48" s="30">
        <v>26680</v>
      </c>
      <c r="J48" s="30">
        <v>26680</v>
      </c>
      <c r="K48" s="30">
        <v>26680</v>
      </c>
      <c r="L48" s="30">
        <v>26680</v>
      </c>
      <c r="M48" s="30">
        <v>26680</v>
      </c>
      <c r="N48" s="30">
        <v>26680</v>
      </c>
      <c r="O48" s="30">
        <v>26680</v>
      </c>
      <c r="P48" s="30">
        <v>26680</v>
      </c>
      <c r="Q48" s="31"/>
      <c r="R48" s="37"/>
      <c r="S48" s="42">
        <f>G48+H48+I48+J48+K48+Q48+R48+L48+M48+N48+O48+P48+Y48</f>
        <v>306280</v>
      </c>
      <c r="T48" s="39"/>
      <c r="U48" s="19"/>
      <c r="V48" s="19"/>
      <c r="W48" s="19"/>
      <c r="X48" s="19"/>
      <c r="Y48" s="18">
        <f>6580*6</f>
        <v>39480</v>
      </c>
    </row>
    <row r="49" spans="1:25" x14ac:dyDescent="0.25">
      <c r="A49" s="11" t="s">
        <v>60</v>
      </c>
      <c r="B49" s="32">
        <v>17336876</v>
      </c>
      <c r="C49" s="9">
        <v>36</v>
      </c>
      <c r="D49" s="9"/>
      <c r="E49" s="9">
        <v>16300470358</v>
      </c>
      <c r="F49" s="57"/>
      <c r="G49" s="112">
        <v>55800</v>
      </c>
      <c r="H49" s="113"/>
      <c r="I49" s="114"/>
      <c r="J49" s="112">
        <v>55800</v>
      </c>
      <c r="K49" s="113"/>
      <c r="L49" s="114"/>
      <c r="M49" s="112">
        <v>100440</v>
      </c>
      <c r="N49" s="113"/>
      <c r="O49" s="113"/>
      <c r="P49" s="113"/>
      <c r="Q49" s="113"/>
      <c r="R49" s="115"/>
      <c r="S49" s="42"/>
      <c r="T49" s="39"/>
      <c r="U49" s="19"/>
      <c r="V49" s="19"/>
      <c r="W49" s="19"/>
      <c r="X49" s="19"/>
      <c r="Y49" s="19"/>
    </row>
    <row r="50" spans="1:25" x14ac:dyDescent="0.25">
      <c r="A50" s="11" t="s">
        <v>61</v>
      </c>
      <c r="B50" s="32">
        <v>23801885</v>
      </c>
      <c r="C50" s="9">
        <v>46</v>
      </c>
      <c r="D50" s="9"/>
      <c r="E50" s="9">
        <v>16300470142</v>
      </c>
      <c r="F50" s="57"/>
      <c r="G50" s="112">
        <v>395424</v>
      </c>
      <c r="H50" s="113"/>
      <c r="I50" s="113"/>
      <c r="J50" s="113"/>
      <c r="K50" s="113"/>
      <c r="L50" s="114"/>
      <c r="M50" s="112">
        <v>527808</v>
      </c>
      <c r="N50" s="114"/>
      <c r="O50" s="63">
        <f>53900+12000</f>
        <v>65900</v>
      </c>
      <c r="P50" s="63">
        <v>65900</v>
      </c>
      <c r="Q50" s="63"/>
      <c r="R50" s="62"/>
      <c r="S50" s="42">
        <f>SUM(O50:R50)</f>
        <v>131800</v>
      </c>
      <c r="T50" s="39"/>
      <c r="U50" s="19"/>
      <c r="V50" s="19"/>
      <c r="W50" s="19"/>
      <c r="X50" s="19"/>
      <c r="Y50" s="19"/>
    </row>
    <row r="51" spans="1:25" x14ac:dyDescent="0.25">
      <c r="A51" s="11" t="s">
        <v>62</v>
      </c>
      <c r="B51" s="32">
        <v>18104072</v>
      </c>
      <c r="C51" s="9">
        <v>64</v>
      </c>
      <c r="D51" s="9"/>
      <c r="E51" s="9" t="s">
        <v>6</v>
      </c>
      <c r="F51" s="57"/>
      <c r="G51" s="30">
        <v>40000</v>
      </c>
      <c r="H51" s="30">
        <v>40000</v>
      </c>
      <c r="I51" s="30">
        <v>40000</v>
      </c>
      <c r="J51" s="30">
        <v>40000</v>
      </c>
      <c r="K51" s="30">
        <v>40000</v>
      </c>
      <c r="L51" s="30">
        <v>40000</v>
      </c>
      <c r="M51" s="30">
        <v>40000</v>
      </c>
      <c r="N51" s="30">
        <v>40000</v>
      </c>
      <c r="O51" s="30">
        <v>40000</v>
      </c>
      <c r="P51" s="30">
        <v>40000</v>
      </c>
      <c r="Q51" s="31"/>
      <c r="R51" s="37"/>
      <c r="S51" s="42">
        <f>SUM(G51:R51)</f>
        <v>400000</v>
      </c>
      <c r="T51" s="39"/>
      <c r="U51" s="19"/>
      <c r="V51" s="19"/>
      <c r="W51" s="19"/>
      <c r="X51" s="19"/>
      <c r="Y51" s="19"/>
    </row>
    <row r="52" spans="1:25" x14ac:dyDescent="0.25">
      <c r="A52" s="11" t="s">
        <v>63</v>
      </c>
      <c r="B52" s="9"/>
      <c r="C52" s="9" t="s">
        <v>64</v>
      </c>
      <c r="D52" s="9"/>
      <c r="E52" s="9">
        <v>16300484382</v>
      </c>
      <c r="F52" s="57"/>
      <c r="G52" s="112">
        <v>552158</v>
      </c>
      <c r="H52" s="113"/>
      <c r="I52" s="114"/>
      <c r="J52" s="112">
        <v>552158</v>
      </c>
      <c r="K52" s="113"/>
      <c r="L52" s="114"/>
      <c r="M52" s="112">
        <v>1656474</v>
      </c>
      <c r="N52" s="113"/>
      <c r="O52" s="113"/>
      <c r="P52" s="113"/>
      <c r="Q52" s="113"/>
      <c r="R52" s="115"/>
      <c r="S52" s="42"/>
      <c r="T52" s="39"/>
      <c r="U52" s="19"/>
      <c r="V52" s="19"/>
      <c r="W52" s="19"/>
      <c r="X52" s="19"/>
      <c r="Y52" s="19"/>
    </row>
    <row r="53" spans="1:25" x14ac:dyDescent="0.25">
      <c r="A53" s="11" t="s">
        <v>65</v>
      </c>
      <c r="B53" s="32">
        <v>17066857</v>
      </c>
      <c r="C53" s="9">
        <v>57</v>
      </c>
      <c r="D53" s="9"/>
      <c r="E53" s="9" t="s">
        <v>6</v>
      </c>
      <c r="F53" s="57"/>
      <c r="G53" s="63">
        <v>18600</v>
      </c>
      <c r="H53" s="63">
        <v>18600</v>
      </c>
      <c r="I53" s="63">
        <v>18600</v>
      </c>
      <c r="J53" s="63">
        <v>18600</v>
      </c>
      <c r="K53" s="63">
        <v>18600</v>
      </c>
      <c r="L53" s="63">
        <v>18600</v>
      </c>
      <c r="M53" s="63">
        <v>18600</v>
      </c>
      <c r="N53" s="63">
        <v>18600</v>
      </c>
      <c r="O53" s="63">
        <v>18600</v>
      </c>
      <c r="P53" s="63">
        <v>18600</v>
      </c>
      <c r="Q53" s="31"/>
      <c r="R53" s="37"/>
      <c r="S53" s="42"/>
      <c r="T53" s="39"/>
      <c r="U53" s="19"/>
      <c r="V53" s="19"/>
      <c r="W53" s="19"/>
      <c r="X53" s="19"/>
      <c r="Y53" s="19"/>
    </row>
    <row r="54" spans="1:25" x14ac:dyDescent="0.25">
      <c r="A54" s="11" t="s">
        <v>66</v>
      </c>
      <c r="B54" s="32">
        <v>30751300</v>
      </c>
      <c r="C54" s="9">
        <v>8</v>
      </c>
      <c r="D54" s="9"/>
      <c r="E54" s="9">
        <v>16300446491</v>
      </c>
      <c r="F54" s="57"/>
      <c r="G54" s="65">
        <v>28450</v>
      </c>
      <c r="H54" s="112">
        <v>56900</v>
      </c>
      <c r="I54" s="114"/>
      <c r="J54" s="112">
        <v>130870</v>
      </c>
      <c r="K54" s="113"/>
      <c r="L54" s="113"/>
      <c r="M54" s="114"/>
      <c r="N54" s="30">
        <v>28450</v>
      </c>
      <c r="O54" s="30">
        <v>28450</v>
      </c>
      <c r="P54" s="30">
        <v>28450</v>
      </c>
      <c r="Q54" s="31"/>
      <c r="R54" s="37"/>
      <c r="S54" s="42">
        <f>SUM(N54:R54)</f>
        <v>85350</v>
      </c>
      <c r="T54" s="39"/>
      <c r="U54" s="19"/>
      <c r="V54" s="19"/>
      <c r="W54" s="19"/>
      <c r="X54" s="19"/>
      <c r="Y54" s="19"/>
    </row>
    <row r="55" spans="1:25" x14ac:dyDescent="0.25">
      <c r="A55" s="130" t="s">
        <v>67</v>
      </c>
      <c r="B55" s="142">
        <v>12943896</v>
      </c>
      <c r="C55" s="9" t="s">
        <v>68</v>
      </c>
      <c r="D55" s="9"/>
      <c r="E55" s="9">
        <v>16300467348</v>
      </c>
      <c r="F55" s="57"/>
      <c r="G55" s="65">
        <v>77902</v>
      </c>
      <c r="H55" s="65">
        <v>77902</v>
      </c>
      <c r="I55" s="65">
        <v>77902</v>
      </c>
      <c r="J55" s="65">
        <v>77902</v>
      </c>
      <c r="K55" s="65">
        <v>77902</v>
      </c>
      <c r="L55" s="65">
        <v>77902</v>
      </c>
      <c r="M55" s="65">
        <v>77902</v>
      </c>
      <c r="N55" s="65">
        <v>77902</v>
      </c>
      <c r="O55" s="65">
        <v>77902</v>
      </c>
      <c r="P55" s="30">
        <v>77902</v>
      </c>
      <c r="Q55" s="31"/>
      <c r="R55" s="37"/>
      <c r="S55" s="42"/>
      <c r="T55" s="39"/>
      <c r="U55" s="19"/>
      <c r="V55" s="19"/>
      <c r="W55" s="19"/>
      <c r="X55" s="19"/>
      <c r="Y55" s="19"/>
    </row>
    <row r="56" spans="1:25" x14ac:dyDescent="0.25">
      <c r="A56" s="130"/>
      <c r="B56" s="143"/>
      <c r="C56" s="9" t="s">
        <v>69</v>
      </c>
      <c r="D56" s="9"/>
      <c r="E56" s="9">
        <v>16300465749</v>
      </c>
      <c r="F56" s="57"/>
      <c r="G56" s="65">
        <v>89429</v>
      </c>
      <c r="H56" s="65">
        <v>89429</v>
      </c>
      <c r="I56" s="65">
        <v>89429</v>
      </c>
      <c r="J56" s="65">
        <v>89429</v>
      </c>
      <c r="K56" s="65">
        <v>89429</v>
      </c>
      <c r="L56" s="65">
        <v>89429</v>
      </c>
      <c r="M56" s="65">
        <v>89429</v>
      </c>
      <c r="N56" s="65">
        <v>89429</v>
      </c>
      <c r="O56" s="65">
        <v>89429</v>
      </c>
      <c r="P56" s="30">
        <v>89429</v>
      </c>
      <c r="Q56" s="31"/>
      <c r="R56" s="37"/>
      <c r="S56" s="42"/>
      <c r="T56" s="39"/>
      <c r="U56" s="19"/>
      <c r="V56" s="19"/>
      <c r="W56" s="19"/>
      <c r="X56" s="19"/>
      <c r="Y56" s="19"/>
    </row>
    <row r="57" spans="1:25" x14ac:dyDescent="0.25">
      <c r="A57" s="11" t="s">
        <v>70</v>
      </c>
      <c r="B57" s="32">
        <v>33043355</v>
      </c>
      <c r="C57" s="9">
        <v>3</v>
      </c>
      <c r="D57" s="9" t="s">
        <v>13</v>
      </c>
      <c r="E57" s="9" t="s">
        <v>6</v>
      </c>
      <c r="F57" s="57"/>
      <c r="G57" s="30">
        <v>18600</v>
      </c>
      <c r="H57" s="30">
        <v>18600</v>
      </c>
      <c r="I57" s="30">
        <v>18600</v>
      </c>
      <c r="J57" s="30">
        <v>18600</v>
      </c>
      <c r="K57" s="30">
        <v>18600</v>
      </c>
      <c r="L57" s="30">
        <v>18600</v>
      </c>
      <c r="M57" s="30">
        <v>18600</v>
      </c>
      <c r="N57" s="30">
        <v>18600</v>
      </c>
      <c r="O57" s="30">
        <v>18600</v>
      </c>
      <c r="P57" s="30">
        <v>18600</v>
      </c>
      <c r="Q57" s="31"/>
      <c r="R57" s="37"/>
      <c r="S57" s="42"/>
      <c r="T57" s="54">
        <f>262.5*12</f>
        <v>3150</v>
      </c>
      <c r="U57" s="18">
        <f>412.5*12</f>
        <v>4950</v>
      </c>
      <c r="V57" s="18">
        <f>412.5*12</f>
        <v>4950</v>
      </c>
      <c r="W57" s="18">
        <f>1000*12</f>
        <v>12000</v>
      </c>
      <c r="X57" s="18">
        <f>1989*6</f>
        <v>11934</v>
      </c>
      <c r="Y57" s="18">
        <f>8989*6</f>
        <v>53934</v>
      </c>
    </row>
    <row r="58" spans="1:25" x14ac:dyDescent="0.25">
      <c r="A58" s="11" t="s">
        <v>71</v>
      </c>
      <c r="B58" s="32">
        <v>27406852</v>
      </c>
      <c r="C58" s="9">
        <v>69</v>
      </c>
      <c r="D58" s="9"/>
      <c r="E58" s="9" t="s">
        <v>6</v>
      </c>
      <c r="F58" s="57"/>
      <c r="G58" s="112">
        <v>111600</v>
      </c>
      <c r="H58" s="113"/>
      <c r="I58" s="113"/>
      <c r="J58" s="113"/>
      <c r="K58" s="113"/>
      <c r="L58" s="114"/>
      <c r="M58" s="30">
        <v>18600</v>
      </c>
      <c r="N58" s="30">
        <v>18600</v>
      </c>
      <c r="O58" s="30">
        <v>18600</v>
      </c>
      <c r="P58" s="30">
        <v>18600</v>
      </c>
      <c r="Q58" s="31"/>
      <c r="R58" s="37"/>
      <c r="S58" s="42"/>
      <c r="T58" s="39"/>
      <c r="U58" s="19"/>
      <c r="V58" s="19"/>
      <c r="W58" s="19"/>
      <c r="X58" s="19"/>
      <c r="Y58" s="19"/>
    </row>
    <row r="59" spans="1:25" x14ac:dyDescent="0.25">
      <c r="A59" s="11" t="s">
        <v>72</v>
      </c>
      <c r="B59" s="32">
        <v>7571217</v>
      </c>
      <c r="C59" s="9">
        <v>28</v>
      </c>
      <c r="D59" s="9"/>
      <c r="E59" s="9"/>
      <c r="F59" s="57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7"/>
      <c r="S59" s="42"/>
      <c r="T59" s="39"/>
      <c r="U59" s="19"/>
      <c r="V59" s="19"/>
      <c r="W59" s="19"/>
      <c r="X59" s="19"/>
      <c r="Y59" s="19"/>
    </row>
    <row r="60" spans="1:25" x14ac:dyDescent="0.25">
      <c r="A60" s="11" t="s">
        <v>73</v>
      </c>
      <c r="B60" s="32">
        <v>11414058</v>
      </c>
      <c r="C60" s="9" t="s">
        <v>74</v>
      </c>
      <c r="D60" s="9"/>
      <c r="E60" s="9"/>
      <c r="F60" s="57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7"/>
      <c r="S60" s="42"/>
      <c r="T60" s="39"/>
      <c r="U60" s="19"/>
      <c r="V60" s="19"/>
      <c r="W60" s="19"/>
      <c r="X60" s="19"/>
      <c r="Y60" s="19"/>
    </row>
    <row r="61" spans="1:25" x14ac:dyDescent="0.25">
      <c r="A61" s="11" t="s">
        <v>75</v>
      </c>
      <c r="B61" s="9"/>
      <c r="C61" s="9"/>
      <c r="D61" s="9"/>
      <c r="E61" s="9">
        <v>16300476056</v>
      </c>
      <c r="F61" s="57"/>
      <c r="G61" s="30">
        <v>215600</v>
      </c>
      <c r="H61" s="30">
        <v>215600</v>
      </c>
      <c r="I61" s="30">
        <v>215600</v>
      </c>
      <c r="J61" s="30">
        <v>215600</v>
      </c>
      <c r="K61" s="30">
        <v>215600</v>
      </c>
      <c r="L61" s="30">
        <v>215600</v>
      </c>
      <c r="M61" s="30">
        <v>215600</v>
      </c>
      <c r="N61" s="30">
        <v>215600</v>
      </c>
      <c r="O61" s="30">
        <v>215600</v>
      </c>
      <c r="P61" s="30">
        <v>215600</v>
      </c>
      <c r="Q61" s="31"/>
      <c r="R61" s="37"/>
      <c r="S61" s="42"/>
      <c r="T61" s="54">
        <v>44400</v>
      </c>
      <c r="U61" s="18">
        <v>125700</v>
      </c>
      <c r="V61" s="18">
        <v>125700</v>
      </c>
      <c r="W61" s="18">
        <v>311700</v>
      </c>
      <c r="X61" s="18">
        <f>94800*6</f>
        <v>568800</v>
      </c>
      <c r="Y61" s="18">
        <f>126800*6</f>
        <v>760800</v>
      </c>
    </row>
    <row r="62" spans="1:25" x14ac:dyDescent="0.25">
      <c r="A62" s="11" t="s">
        <v>76</v>
      </c>
      <c r="B62" s="32">
        <v>7571201</v>
      </c>
      <c r="C62" s="9">
        <v>61</v>
      </c>
      <c r="D62" s="9"/>
      <c r="E62" s="9" t="s">
        <v>77</v>
      </c>
      <c r="F62" s="57"/>
      <c r="G62" s="30">
        <v>18600</v>
      </c>
      <c r="H62" s="30">
        <v>18600</v>
      </c>
      <c r="I62" s="30">
        <v>18600</v>
      </c>
      <c r="J62" s="30">
        <v>18600</v>
      </c>
      <c r="K62" s="30">
        <v>18600</v>
      </c>
      <c r="L62" s="30">
        <v>18600</v>
      </c>
      <c r="M62" s="30">
        <v>18600</v>
      </c>
      <c r="N62" s="30">
        <v>18600</v>
      </c>
      <c r="O62" s="30">
        <v>18600</v>
      </c>
      <c r="P62" s="30">
        <v>18600</v>
      </c>
      <c r="Q62" s="31"/>
      <c r="R62" s="37"/>
      <c r="S62" s="42"/>
      <c r="T62" s="39"/>
      <c r="U62" s="19"/>
      <c r="V62" s="19"/>
      <c r="W62" s="19"/>
      <c r="X62" s="18">
        <f>1989*6</f>
        <v>11934</v>
      </c>
      <c r="Y62" s="18">
        <f>8989*6</f>
        <v>53934</v>
      </c>
    </row>
    <row r="63" spans="1:25" x14ac:dyDescent="0.25">
      <c r="A63" s="11" t="s">
        <v>78</v>
      </c>
      <c r="B63" s="32">
        <v>30563586</v>
      </c>
      <c r="C63" s="9" t="s">
        <v>79</v>
      </c>
      <c r="D63" s="9"/>
      <c r="E63" s="9" t="s">
        <v>77</v>
      </c>
      <c r="F63" s="57"/>
      <c r="G63" s="30">
        <v>18600</v>
      </c>
      <c r="H63" s="30">
        <v>18600</v>
      </c>
      <c r="I63" s="30">
        <v>18600</v>
      </c>
      <c r="J63" s="30">
        <v>18600</v>
      </c>
      <c r="K63" s="30">
        <v>18600</v>
      </c>
      <c r="L63" s="30">
        <v>18600</v>
      </c>
      <c r="M63" s="30">
        <v>18600</v>
      </c>
      <c r="N63" s="30">
        <v>18600</v>
      </c>
      <c r="O63" s="30">
        <v>18600</v>
      </c>
      <c r="P63" s="30">
        <v>18600</v>
      </c>
      <c r="Q63" s="31"/>
      <c r="R63" s="37"/>
      <c r="S63" s="42"/>
      <c r="T63" s="39"/>
      <c r="U63" s="19"/>
      <c r="V63" s="19"/>
      <c r="W63" s="19"/>
      <c r="X63" s="18">
        <f>1989*6</f>
        <v>11934</v>
      </c>
      <c r="Y63" s="18">
        <f>8989*6</f>
        <v>53934</v>
      </c>
    </row>
    <row r="64" spans="1:25" x14ac:dyDescent="0.25">
      <c r="A64" s="11" t="s">
        <v>80</v>
      </c>
      <c r="B64" s="32">
        <v>26262241</v>
      </c>
      <c r="C64" s="9">
        <v>3</v>
      </c>
      <c r="D64" s="9"/>
      <c r="E64" s="9">
        <v>16300483215</v>
      </c>
      <c r="F64" s="57"/>
      <c r="G64" s="112">
        <v>262737</v>
      </c>
      <c r="H64" s="113"/>
      <c r="I64" s="113"/>
      <c r="J64" s="113"/>
      <c r="K64" s="113"/>
      <c r="L64" s="114"/>
      <c r="M64" s="30">
        <v>36600</v>
      </c>
      <c r="N64" s="30">
        <v>36600</v>
      </c>
      <c r="O64" s="30">
        <v>36600</v>
      </c>
      <c r="P64" s="30">
        <v>36600</v>
      </c>
      <c r="Q64" s="31"/>
      <c r="R64" s="37"/>
      <c r="S64" s="42"/>
      <c r="T64" s="39"/>
      <c r="U64" s="19"/>
      <c r="V64" s="19"/>
      <c r="W64" s="19"/>
      <c r="X64" s="19"/>
      <c r="Y64" s="19"/>
    </row>
    <row r="65" spans="1:25" x14ac:dyDescent="0.25">
      <c r="A65" s="11" t="s">
        <v>81</v>
      </c>
      <c r="B65" s="32">
        <v>26735430</v>
      </c>
      <c r="C65" s="9">
        <v>12</v>
      </c>
      <c r="D65" s="9" t="s">
        <v>13</v>
      </c>
      <c r="E65" s="9" t="s">
        <v>77</v>
      </c>
      <c r="F65" s="57"/>
      <c r="G65" s="112">
        <v>388440</v>
      </c>
      <c r="H65" s="113"/>
      <c r="I65" s="113"/>
      <c r="J65" s="113"/>
      <c r="K65" s="113"/>
      <c r="L65" s="114"/>
      <c r="M65" s="112">
        <v>435600</v>
      </c>
      <c r="N65" s="113"/>
      <c r="O65" s="113"/>
      <c r="P65" s="113"/>
      <c r="Q65" s="113"/>
      <c r="R65" s="115"/>
      <c r="S65" s="42"/>
      <c r="T65" s="39"/>
      <c r="U65" s="19"/>
      <c r="V65" s="19"/>
      <c r="W65" s="19"/>
      <c r="X65" s="19"/>
      <c r="Y65" s="19"/>
    </row>
    <row r="66" spans="1:25" x14ac:dyDescent="0.25">
      <c r="A66" s="11" t="s">
        <v>82</v>
      </c>
      <c r="B66" s="9"/>
      <c r="C66" s="9">
        <v>1</v>
      </c>
      <c r="D66" s="9" t="s">
        <v>15</v>
      </c>
      <c r="E66" s="9" t="s">
        <v>83</v>
      </c>
      <c r="F66" s="57"/>
      <c r="G66" s="112">
        <v>100440</v>
      </c>
      <c r="H66" s="113"/>
      <c r="I66" s="113"/>
      <c r="J66" s="113"/>
      <c r="K66" s="113"/>
      <c r="L66" s="114"/>
      <c r="M66" s="30">
        <v>18600</v>
      </c>
      <c r="N66" s="30">
        <v>18600</v>
      </c>
      <c r="O66" s="30">
        <v>18600</v>
      </c>
      <c r="P66" s="30">
        <v>18600</v>
      </c>
      <c r="Q66" s="31"/>
      <c r="R66" s="37"/>
      <c r="S66" s="42"/>
      <c r="T66" s="39"/>
      <c r="U66" s="19"/>
      <c r="V66" s="19"/>
      <c r="W66" s="19"/>
      <c r="X66" s="19"/>
      <c r="Y66" s="19"/>
    </row>
    <row r="67" spans="1:25" x14ac:dyDescent="0.25">
      <c r="A67" s="11" t="s">
        <v>84</v>
      </c>
      <c r="B67" s="32">
        <v>31930087</v>
      </c>
      <c r="C67" s="9" t="s">
        <v>85</v>
      </c>
      <c r="D67" s="9"/>
      <c r="E67" s="9">
        <v>16300471480</v>
      </c>
      <c r="F67" s="57"/>
      <c r="G67" s="30">
        <v>92400</v>
      </c>
      <c r="H67" s="30">
        <v>92400</v>
      </c>
      <c r="I67" s="30">
        <v>92400</v>
      </c>
      <c r="J67" s="30">
        <v>92400</v>
      </c>
      <c r="K67" s="30">
        <v>92400</v>
      </c>
      <c r="L67" s="30">
        <v>92400</v>
      </c>
      <c r="M67" s="30">
        <v>92400</v>
      </c>
      <c r="N67" s="30">
        <v>92400</v>
      </c>
      <c r="O67" s="30">
        <v>92400</v>
      </c>
      <c r="P67" s="30">
        <v>92400</v>
      </c>
      <c r="Q67" s="31"/>
      <c r="R67" s="37"/>
      <c r="S67" s="42"/>
      <c r="T67" s="39"/>
      <c r="U67" s="19"/>
      <c r="V67" s="19"/>
      <c r="W67" s="19"/>
      <c r="X67" s="19"/>
      <c r="Y67" s="19"/>
    </row>
    <row r="68" spans="1:25" x14ac:dyDescent="0.25">
      <c r="A68" s="11" t="s">
        <v>86</v>
      </c>
      <c r="B68" s="32">
        <v>10847616</v>
      </c>
      <c r="C68" s="9">
        <v>19</v>
      </c>
      <c r="D68" s="9"/>
      <c r="E68" s="9"/>
      <c r="F68" s="57" t="s">
        <v>747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7"/>
      <c r="S68" s="42"/>
      <c r="T68" s="39"/>
      <c r="U68" s="19"/>
      <c r="V68" s="19"/>
      <c r="W68" s="19"/>
      <c r="X68" s="19"/>
      <c r="Y68" s="19"/>
    </row>
    <row r="69" spans="1:25" x14ac:dyDescent="0.25">
      <c r="A69" s="11" t="s">
        <v>87</v>
      </c>
      <c r="B69" s="32">
        <v>33043368</v>
      </c>
      <c r="C69" s="9"/>
      <c r="D69" s="9"/>
      <c r="E69" s="9" t="s">
        <v>77</v>
      </c>
      <c r="F69" s="57"/>
      <c r="G69" s="30">
        <v>18600</v>
      </c>
      <c r="H69" s="30">
        <v>18600</v>
      </c>
      <c r="I69" s="30">
        <v>18600</v>
      </c>
      <c r="J69" s="30">
        <v>18600</v>
      </c>
      <c r="K69" s="30">
        <v>18600</v>
      </c>
      <c r="L69" s="30">
        <v>18600</v>
      </c>
      <c r="M69" s="30">
        <v>18600</v>
      </c>
      <c r="N69" s="30">
        <v>18600</v>
      </c>
      <c r="O69" s="30">
        <v>18600</v>
      </c>
      <c r="P69" s="30">
        <v>18600</v>
      </c>
      <c r="Q69" s="31"/>
      <c r="R69" s="37"/>
      <c r="S69" s="42"/>
      <c r="T69" s="39"/>
      <c r="U69" s="19"/>
      <c r="V69" s="19"/>
      <c r="W69" s="19"/>
      <c r="X69" s="19"/>
      <c r="Y69" s="19"/>
    </row>
    <row r="70" spans="1:25" x14ac:dyDescent="0.25">
      <c r="A70" s="11" t="s">
        <v>683</v>
      </c>
      <c r="B70" s="9" t="s">
        <v>682</v>
      </c>
      <c r="C70" s="9" t="s">
        <v>88</v>
      </c>
      <c r="D70" s="9"/>
      <c r="E70" s="9" t="s">
        <v>77</v>
      </c>
      <c r="F70" s="57"/>
      <c r="G70" s="105">
        <v>18600</v>
      </c>
      <c r="H70" s="105">
        <v>18600</v>
      </c>
      <c r="I70" s="105">
        <v>18600</v>
      </c>
      <c r="J70" s="105">
        <v>18600</v>
      </c>
      <c r="K70" s="105">
        <v>18600</v>
      </c>
      <c r="L70" s="105">
        <v>18600</v>
      </c>
      <c r="M70" s="105">
        <v>18600</v>
      </c>
      <c r="N70" s="105">
        <v>18600</v>
      </c>
      <c r="O70" s="105">
        <v>18600</v>
      </c>
      <c r="P70" s="105">
        <v>18600</v>
      </c>
      <c r="Q70" s="89"/>
      <c r="R70" s="106"/>
      <c r="S70" s="42"/>
      <c r="T70" s="54">
        <f>262.5*12</f>
        <v>3150</v>
      </c>
      <c r="U70" s="18">
        <f>412.5*12</f>
        <v>4950</v>
      </c>
      <c r="V70" s="18">
        <f>412.5*12</f>
        <v>4950</v>
      </c>
      <c r="W70" s="18">
        <f>1000*12</f>
        <v>12000</v>
      </c>
      <c r="X70" s="18">
        <f>1989*6</f>
        <v>11934</v>
      </c>
      <c r="Y70" s="18">
        <f>8989*6</f>
        <v>53934</v>
      </c>
    </row>
    <row r="71" spans="1:25" x14ac:dyDescent="0.25">
      <c r="A71" s="11" t="s">
        <v>89</v>
      </c>
      <c r="B71" s="32" t="s">
        <v>684</v>
      </c>
      <c r="C71" s="9"/>
      <c r="D71" s="9"/>
      <c r="E71" s="9" t="s">
        <v>77</v>
      </c>
      <c r="F71" s="60" t="s">
        <v>751</v>
      </c>
      <c r="G71" s="95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8"/>
      <c r="S71" s="104"/>
      <c r="T71" s="39"/>
      <c r="U71" s="19"/>
      <c r="V71" s="19"/>
      <c r="W71" s="19"/>
      <c r="X71" s="19"/>
      <c r="Y71" s="19"/>
    </row>
    <row r="72" spans="1:25" x14ac:dyDescent="0.25">
      <c r="A72" s="11" t="s">
        <v>685</v>
      </c>
      <c r="B72" s="32">
        <v>18104079</v>
      </c>
      <c r="C72" s="9">
        <v>11</v>
      </c>
      <c r="D72" s="9"/>
      <c r="E72" s="9"/>
      <c r="F72" s="57"/>
      <c r="G72" s="133">
        <v>294840</v>
      </c>
      <c r="H72" s="134"/>
      <c r="I72" s="134"/>
      <c r="J72" s="134"/>
      <c r="K72" s="134"/>
      <c r="L72" s="135"/>
      <c r="M72" s="133">
        <v>216000</v>
      </c>
      <c r="N72" s="134"/>
      <c r="O72" s="134"/>
      <c r="P72" s="134"/>
      <c r="Q72" s="134"/>
      <c r="R72" s="136"/>
      <c r="S72" s="43"/>
      <c r="T72" s="39"/>
      <c r="U72" s="19"/>
      <c r="V72" s="19"/>
      <c r="W72" s="19"/>
      <c r="X72" s="19"/>
      <c r="Y72" s="19"/>
    </row>
    <row r="73" spans="1:25" x14ac:dyDescent="0.25">
      <c r="A73" s="11" t="s">
        <v>686</v>
      </c>
      <c r="B73" s="32">
        <v>22049272</v>
      </c>
      <c r="C73" s="9">
        <v>3</v>
      </c>
      <c r="D73" s="9" t="s">
        <v>15</v>
      </c>
      <c r="E73" s="9" t="s">
        <v>77</v>
      </c>
      <c r="F73" s="57"/>
      <c r="G73" s="30">
        <v>18600</v>
      </c>
      <c r="H73" s="30">
        <v>18600</v>
      </c>
      <c r="I73" s="30">
        <v>18600</v>
      </c>
      <c r="J73" s="30">
        <v>18600</v>
      </c>
      <c r="K73" s="30">
        <v>18600</v>
      </c>
      <c r="L73" s="30">
        <v>18600</v>
      </c>
      <c r="M73" s="30">
        <v>18600</v>
      </c>
      <c r="N73" s="30">
        <v>18600</v>
      </c>
      <c r="O73" s="30">
        <v>18600</v>
      </c>
      <c r="P73" s="30">
        <v>18600</v>
      </c>
      <c r="Q73" s="31"/>
      <c r="R73" s="37"/>
      <c r="S73" s="43"/>
      <c r="T73" s="39"/>
      <c r="U73" s="19"/>
      <c r="V73" s="19"/>
      <c r="W73" s="19"/>
      <c r="X73" s="19"/>
      <c r="Y73" s="19"/>
    </row>
    <row r="74" spans="1:25" x14ac:dyDescent="0.25">
      <c r="A74" s="11" t="s">
        <v>687</v>
      </c>
      <c r="B74" s="32">
        <v>14123945</v>
      </c>
      <c r="C74" s="9" t="s">
        <v>91</v>
      </c>
      <c r="D74" s="9"/>
      <c r="E74" s="9"/>
      <c r="F74" s="57"/>
      <c r="G74" s="65">
        <v>393020</v>
      </c>
      <c r="H74" s="65">
        <v>393020</v>
      </c>
      <c r="I74" s="65">
        <v>165020</v>
      </c>
      <c r="J74" s="65">
        <v>165000</v>
      </c>
      <c r="K74" s="65">
        <v>165000</v>
      </c>
      <c r="L74" s="65">
        <v>177000</v>
      </c>
      <c r="M74" s="65">
        <v>177000</v>
      </c>
      <c r="N74" s="112">
        <v>531000</v>
      </c>
      <c r="O74" s="113"/>
      <c r="P74" s="114"/>
      <c r="Q74" s="31"/>
      <c r="R74" s="37"/>
      <c r="S74" s="43"/>
      <c r="T74" s="39"/>
      <c r="U74" s="19"/>
      <c r="V74" s="19"/>
      <c r="W74" s="19"/>
      <c r="X74" s="19"/>
      <c r="Y74" s="19"/>
    </row>
    <row r="75" spans="1:25" x14ac:dyDescent="0.25">
      <c r="A75" s="11" t="s">
        <v>92</v>
      </c>
      <c r="B75" s="9"/>
      <c r="C75" s="9"/>
      <c r="D75" s="9"/>
      <c r="E75" s="9" t="s">
        <v>93</v>
      </c>
      <c r="F75" s="57" t="s">
        <v>748</v>
      </c>
      <c r="G75" s="137" t="s">
        <v>745</v>
      </c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9"/>
      <c r="S75" s="43"/>
      <c r="T75" s="39"/>
      <c r="U75" s="19"/>
      <c r="V75" s="19"/>
      <c r="W75" s="19"/>
      <c r="X75" s="19"/>
      <c r="Y75" s="19"/>
    </row>
    <row r="76" spans="1:25" x14ac:dyDescent="0.25">
      <c r="A76" s="11" t="s">
        <v>94</v>
      </c>
      <c r="B76" s="9"/>
      <c r="C76" s="9" t="s">
        <v>95</v>
      </c>
      <c r="D76" s="9"/>
      <c r="E76" s="9">
        <v>16300474166</v>
      </c>
      <c r="F76" s="57"/>
      <c r="G76" s="65">
        <v>67403</v>
      </c>
      <c r="H76" s="65">
        <v>67403</v>
      </c>
      <c r="I76" s="65">
        <v>67403</v>
      </c>
      <c r="J76" s="65">
        <v>67403</v>
      </c>
      <c r="K76" s="65">
        <v>67403</v>
      </c>
      <c r="L76" s="65">
        <v>67403</v>
      </c>
      <c r="M76" s="65">
        <v>67403</v>
      </c>
      <c r="N76" s="65">
        <v>67403</v>
      </c>
      <c r="O76" s="65">
        <v>67403</v>
      </c>
      <c r="P76" s="65">
        <v>67403</v>
      </c>
      <c r="Q76" s="31"/>
      <c r="R76" s="37"/>
      <c r="S76" s="43"/>
      <c r="T76" s="39"/>
      <c r="U76" s="19"/>
      <c r="V76" s="19"/>
      <c r="W76" s="19"/>
      <c r="X76" s="19"/>
      <c r="Y76" s="19"/>
    </row>
    <row r="77" spans="1:25" x14ac:dyDescent="0.25">
      <c r="A77" s="130" t="s">
        <v>96</v>
      </c>
      <c r="B77" s="32">
        <v>22118011</v>
      </c>
      <c r="C77" s="9">
        <v>16</v>
      </c>
      <c r="D77" s="9"/>
      <c r="E77" s="9">
        <v>16300466066</v>
      </c>
      <c r="F77" s="57"/>
      <c r="G77" s="30">
        <v>40400</v>
      </c>
      <c r="H77" s="30">
        <v>40400</v>
      </c>
      <c r="I77" s="30">
        <v>40400</v>
      </c>
      <c r="J77" s="30">
        <v>40400</v>
      </c>
      <c r="K77" s="30">
        <v>40400</v>
      </c>
      <c r="L77" s="30">
        <v>40400</v>
      </c>
      <c r="M77" s="30">
        <v>40400</v>
      </c>
      <c r="N77" s="30">
        <v>40400</v>
      </c>
      <c r="O77" s="30">
        <v>40400</v>
      </c>
      <c r="P77" s="30">
        <v>40400</v>
      </c>
      <c r="Q77" s="31"/>
      <c r="R77" s="37"/>
      <c r="S77" s="43"/>
      <c r="T77" s="54"/>
      <c r="U77" s="18"/>
      <c r="V77" s="18"/>
      <c r="W77" s="18"/>
      <c r="X77" s="18"/>
      <c r="Y77" s="18"/>
    </row>
    <row r="78" spans="1:25" x14ac:dyDescent="0.25">
      <c r="A78" s="130"/>
      <c r="B78" s="32"/>
      <c r="C78" s="9">
        <v>15</v>
      </c>
      <c r="D78" s="9"/>
      <c r="E78" s="9">
        <v>16300465666</v>
      </c>
      <c r="F78" s="57"/>
      <c r="G78" s="112">
        <v>213000</v>
      </c>
      <c r="H78" s="113"/>
      <c r="I78" s="113"/>
      <c r="J78" s="113"/>
      <c r="K78" s="113"/>
      <c r="L78" s="114"/>
      <c r="M78" s="112">
        <v>191700</v>
      </c>
      <c r="N78" s="113"/>
      <c r="O78" s="113"/>
      <c r="P78" s="113"/>
      <c r="Q78" s="113"/>
      <c r="R78" s="115"/>
      <c r="S78" s="43"/>
      <c r="T78" s="39"/>
      <c r="U78" s="19"/>
      <c r="V78" s="19"/>
      <c r="W78" s="19"/>
      <c r="X78" s="19"/>
      <c r="Y78" s="19"/>
    </row>
    <row r="79" spans="1:25" x14ac:dyDescent="0.25">
      <c r="A79" s="11" t="s">
        <v>97</v>
      </c>
      <c r="B79" s="32">
        <v>7573554</v>
      </c>
      <c r="C79" s="9" t="s">
        <v>98</v>
      </c>
      <c r="D79" s="9"/>
      <c r="E79" s="9" t="s">
        <v>77</v>
      </c>
      <c r="F79" s="57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7"/>
      <c r="S79" s="43"/>
      <c r="T79" s="39"/>
      <c r="U79" s="19"/>
      <c r="V79" s="19"/>
      <c r="W79" s="19"/>
      <c r="X79" s="19"/>
      <c r="Y79" s="19"/>
    </row>
    <row r="80" spans="1:25" x14ac:dyDescent="0.25">
      <c r="A80" s="11" t="s">
        <v>688</v>
      </c>
      <c r="B80" s="32">
        <v>25640416</v>
      </c>
      <c r="C80" s="9">
        <v>33</v>
      </c>
      <c r="D80" s="9"/>
      <c r="E80" s="9">
        <v>16300470065</v>
      </c>
      <c r="F80" s="57"/>
      <c r="G80" s="112">
        <v>100440</v>
      </c>
      <c r="H80" s="113"/>
      <c r="I80" s="113"/>
      <c r="J80" s="113"/>
      <c r="K80" s="113"/>
      <c r="L80" s="114"/>
      <c r="M80" s="112">
        <v>100440</v>
      </c>
      <c r="N80" s="131"/>
      <c r="O80" s="131"/>
      <c r="P80" s="131"/>
      <c r="Q80" s="131"/>
      <c r="R80" s="144"/>
      <c r="S80" s="43"/>
      <c r="T80" s="39"/>
      <c r="U80" s="19"/>
      <c r="V80" s="19"/>
      <c r="W80" s="19"/>
      <c r="X80" s="19"/>
      <c r="Y80" s="19"/>
    </row>
    <row r="81" spans="1:25" x14ac:dyDescent="0.25">
      <c r="A81" s="11" t="s">
        <v>689</v>
      </c>
      <c r="B81" s="32">
        <v>22535507</v>
      </c>
      <c r="C81" s="9">
        <v>47</v>
      </c>
      <c r="D81" s="9"/>
      <c r="E81" s="9">
        <v>16300470144</v>
      </c>
      <c r="F81" s="57"/>
      <c r="G81" s="112">
        <v>197046</v>
      </c>
      <c r="H81" s="113"/>
      <c r="I81" s="113"/>
      <c r="J81" s="113"/>
      <c r="K81" s="113"/>
      <c r="L81" s="114"/>
      <c r="M81" s="30">
        <v>36400</v>
      </c>
      <c r="N81" s="30">
        <v>36400</v>
      </c>
      <c r="O81" s="30">
        <v>36400</v>
      </c>
      <c r="P81" s="30">
        <v>36400</v>
      </c>
      <c r="Q81" s="31"/>
      <c r="R81" s="37"/>
      <c r="S81" s="43"/>
      <c r="T81" s="39"/>
      <c r="U81" s="19"/>
      <c r="V81" s="19"/>
      <c r="W81" s="19"/>
      <c r="X81" s="19"/>
      <c r="Y81" s="19"/>
    </row>
    <row r="82" spans="1:25" x14ac:dyDescent="0.25">
      <c r="A82" s="11" t="s">
        <v>690</v>
      </c>
      <c r="B82" s="32">
        <v>7396374</v>
      </c>
      <c r="C82" s="34" t="s">
        <v>99</v>
      </c>
      <c r="D82" s="9"/>
      <c r="E82" s="9">
        <v>16300466665</v>
      </c>
      <c r="F82" s="57"/>
      <c r="G82" s="112">
        <v>356130</v>
      </c>
      <c r="H82" s="113"/>
      <c r="I82" s="113"/>
      <c r="J82" s="113"/>
      <c r="K82" s="113"/>
      <c r="L82" s="114"/>
      <c r="M82" s="112">
        <v>395700</v>
      </c>
      <c r="N82" s="113"/>
      <c r="O82" s="113"/>
      <c r="P82" s="113"/>
      <c r="Q82" s="113"/>
      <c r="R82" s="115"/>
      <c r="S82" s="43"/>
      <c r="T82" s="39"/>
      <c r="U82" s="19"/>
      <c r="V82" s="19"/>
      <c r="W82" s="19"/>
      <c r="X82" s="19"/>
      <c r="Y82" s="19"/>
    </row>
    <row r="83" spans="1:25" x14ac:dyDescent="0.25">
      <c r="A83" s="11" t="s">
        <v>100</v>
      </c>
      <c r="B83" s="9"/>
      <c r="C83" s="9" t="s">
        <v>101</v>
      </c>
      <c r="D83" s="9"/>
      <c r="E83" s="9">
        <v>16300476928</v>
      </c>
      <c r="F83" s="57"/>
      <c r="G83" s="65">
        <v>905726</v>
      </c>
      <c r="H83" s="65">
        <v>233000</v>
      </c>
      <c r="I83" s="65">
        <v>233000</v>
      </c>
      <c r="J83" s="112">
        <v>791000</v>
      </c>
      <c r="K83" s="113"/>
      <c r="L83" s="113"/>
      <c r="M83" s="113"/>
      <c r="N83" s="113"/>
      <c r="O83" s="113"/>
      <c r="P83" s="114"/>
      <c r="Q83" s="31"/>
      <c r="R83" s="37"/>
      <c r="S83" s="43"/>
      <c r="T83" s="39"/>
      <c r="U83" s="19"/>
      <c r="V83" s="19"/>
      <c r="W83" s="19"/>
      <c r="X83" s="19"/>
      <c r="Y83" s="19"/>
    </row>
    <row r="84" spans="1:25" x14ac:dyDescent="0.25">
      <c r="A84" s="11" t="s">
        <v>102</v>
      </c>
      <c r="B84" s="9"/>
      <c r="C84" s="9">
        <v>6</v>
      </c>
      <c r="D84" s="9" t="s">
        <v>15</v>
      </c>
      <c r="E84" s="9" t="s">
        <v>77</v>
      </c>
      <c r="F84" s="57"/>
      <c r="G84" s="65">
        <v>18600</v>
      </c>
      <c r="H84" s="65">
        <v>18600</v>
      </c>
      <c r="I84" s="112">
        <v>74400</v>
      </c>
      <c r="J84" s="113"/>
      <c r="K84" s="113"/>
      <c r="L84" s="114"/>
      <c r="M84" s="31"/>
      <c r="N84" s="31"/>
      <c r="O84" s="31"/>
      <c r="P84" s="31"/>
      <c r="Q84" s="31"/>
      <c r="R84" s="37"/>
      <c r="S84" s="43"/>
      <c r="T84" s="39"/>
      <c r="U84" s="19"/>
      <c r="V84" s="19"/>
      <c r="W84" s="19"/>
      <c r="X84" s="19"/>
      <c r="Y84" s="19"/>
    </row>
    <row r="85" spans="1:25" x14ac:dyDescent="0.25">
      <c r="A85" s="11" t="s">
        <v>103</v>
      </c>
      <c r="B85" s="32">
        <v>12200393</v>
      </c>
      <c r="C85" s="9" t="s">
        <v>104</v>
      </c>
      <c r="D85" s="9"/>
      <c r="E85" s="9">
        <v>16300484642</v>
      </c>
      <c r="F85" s="57"/>
      <c r="G85" s="65">
        <v>463265</v>
      </c>
      <c r="H85" s="65">
        <v>463265</v>
      </c>
      <c r="I85" s="112">
        <v>926530</v>
      </c>
      <c r="J85" s="114"/>
      <c r="K85" s="65">
        <v>295265</v>
      </c>
      <c r="L85" s="65">
        <v>295265</v>
      </c>
      <c r="M85" s="65">
        <v>295265</v>
      </c>
      <c r="N85" s="65">
        <v>295265</v>
      </c>
      <c r="O85" s="65">
        <v>295265</v>
      </c>
      <c r="P85" s="30">
        <v>295265</v>
      </c>
      <c r="Q85" s="31"/>
      <c r="R85" s="37"/>
      <c r="S85" s="43"/>
      <c r="T85" s="39"/>
      <c r="U85" s="19"/>
      <c r="V85" s="19"/>
      <c r="W85" s="19"/>
      <c r="X85" s="19"/>
      <c r="Y85" s="19"/>
    </row>
    <row r="86" spans="1:25" x14ac:dyDescent="0.25">
      <c r="A86" s="11" t="s">
        <v>105</v>
      </c>
      <c r="B86" s="32" t="s">
        <v>691</v>
      </c>
      <c r="C86" s="9">
        <v>16</v>
      </c>
      <c r="D86" s="9" t="s">
        <v>13</v>
      </c>
      <c r="E86" s="9" t="s">
        <v>77</v>
      </c>
      <c r="F86" s="57"/>
      <c r="G86" s="112">
        <v>100440</v>
      </c>
      <c r="H86" s="113"/>
      <c r="I86" s="113"/>
      <c r="J86" s="113"/>
      <c r="K86" s="113"/>
      <c r="L86" s="114"/>
      <c r="M86" s="112">
        <v>100440</v>
      </c>
      <c r="N86" s="113"/>
      <c r="O86" s="113"/>
      <c r="P86" s="113"/>
      <c r="Q86" s="113"/>
      <c r="R86" s="115"/>
      <c r="S86" s="43"/>
      <c r="T86" s="39"/>
      <c r="U86" s="19"/>
      <c r="V86" s="19"/>
      <c r="W86" s="19"/>
      <c r="X86" s="19"/>
      <c r="Y86" s="19"/>
    </row>
    <row r="87" spans="1:25" x14ac:dyDescent="0.25">
      <c r="A87" s="11" t="s">
        <v>692</v>
      </c>
      <c r="B87" s="32">
        <v>14627947</v>
      </c>
      <c r="C87" s="9">
        <v>16</v>
      </c>
      <c r="D87" s="9"/>
      <c r="E87" s="9">
        <v>16300470690</v>
      </c>
      <c r="F87" s="57"/>
      <c r="G87" s="112">
        <v>100440</v>
      </c>
      <c r="H87" s="113"/>
      <c r="I87" s="113"/>
      <c r="J87" s="113"/>
      <c r="K87" s="113"/>
      <c r="L87" s="114"/>
      <c r="M87" s="112">
        <v>100440</v>
      </c>
      <c r="N87" s="113"/>
      <c r="O87" s="113"/>
      <c r="P87" s="113"/>
      <c r="Q87" s="113"/>
      <c r="R87" s="115"/>
      <c r="S87" s="43"/>
      <c r="T87" s="39"/>
      <c r="U87" s="19"/>
      <c r="V87" s="19"/>
      <c r="W87" s="19"/>
      <c r="X87" s="19"/>
      <c r="Y87" s="19"/>
    </row>
    <row r="88" spans="1:25" x14ac:dyDescent="0.25">
      <c r="A88" s="11" t="s">
        <v>106</v>
      </c>
      <c r="B88" s="9"/>
      <c r="C88" s="9" t="s">
        <v>107</v>
      </c>
      <c r="D88" s="9"/>
      <c r="E88" s="9"/>
      <c r="F88" s="57"/>
      <c r="G88" s="112"/>
      <c r="H88" s="113"/>
      <c r="I88" s="114"/>
      <c r="J88" s="30"/>
      <c r="K88" s="30"/>
      <c r="L88" s="30"/>
      <c r="M88" s="30"/>
      <c r="N88" s="30"/>
      <c r="O88" s="30"/>
      <c r="P88" s="30"/>
      <c r="Q88" s="31"/>
      <c r="R88" s="37"/>
      <c r="S88" s="43"/>
      <c r="T88" s="39"/>
      <c r="U88" s="19"/>
      <c r="V88" s="19"/>
      <c r="W88" s="19"/>
      <c r="X88" s="19"/>
      <c r="Y88" s="19"/>
    </row>
    <row r="89" spans="1:25" x14ac:dyDescent="0.25">
      <c r="A89" s="130" t="s">
        <v>108</v>
      </c>
      <c r="B89" s="9"/>
      <c r="C89" s="9" t="s">
        <v>109</v>
      </c>
      <c r="D89" s="9"/>
      <c r="E89" s="9">
        <v>16300467136</v>
      </c>
      <c r="F89" s="57"/>
      <c r="G89" s="112">
        <v>356534.4</v>
      </c>
      <c r="H89" s="131"/>
      <c r="I89" s="131"/>
      <c r="J89" s="131"/>
      <c r="K89" s="131"/>
      <c r="L89" s="132"/>
      <c r="M89" s="30">
        <v>59422</v>
      </c>
      <c r="N89" s="30">
        <v>59422</v>
      </c>
      <c r="O89" s="30">
        <v>59422</v>
      </c>
      <c r="P89" s="30">
        <v>59422</v>
      </c>
      <c r="Q89" s="31"/>
      <c r="R89" s="37"/>
      <c r="S89" s="43"/>
      <c r="T89" s="39"/>
      <c r="U89" s="19"/>
      <c r="V89" s="19"/>
      <c r="W89" s="19"/>
      <c r="X89" s="19"/>
      <c r="Y89" s="19"/>
    </row>
    <row r="90" spans="1:25" x14ac:dyDescent="0.25">
      <c r="A90" s="130"/>
      <c r="B90" s="9"/>
      <c r="C90" s="9" t="s">
        <v>68</v>
      </c>
      <c r="D90" s="9"/>
      <c r="E90" s="9">
        <v>16300467348</v>
      </c>
      <c r="F90" s="57"/>
      <c r="G90" s="30">
        <v>70900</v>
      </c>
      <c r="H90" s="30">
        <v>70900</v>
      </c>
      <c r="I90" s="30">
        <v>70900</v>
      </c>
      <c r="J90" s="30">
        <v>70900</v>
      </c>
      <c r="K90" s="30">
        <v>70900</v>
      </c>
      <c r="L90" s="30">
        <v>70900</v>
      </c>
      <c r="M90" s="30">
        <v>70900</v>
      </c>
      <c r="N90" s="30">
        <v>70900</v>
      </c>
      <c r="O90" s="30">
        <v>70900</v>
      </c>
      <c r="P90" s="30">
        <v>77900</v>
      </c>
      <c r="Q90" s="31"/>
      <c r="R90" s="37"/>
      <c r="S90" s="43"/>
      <c r="T90" s="54">
        <f>262.5*12</f>
        <v>3150</v>
      </c>
      <c r="U90" s="18">
        <f>2905.5*12</f>
        <v>34866</v>
      </c>
      <c r="V90" s="18">
        <f>2905.5*12</f>
        <v>34866</v>
      </c>
      <c r="W90" s="18">
        <f>7409*12</f>
        <v>88908</v>
      </c>
      <c r="X90" s="18">
        <f>28715*6</f>
        <v>172290</v>
      </c>
      <c r="Y90" s="18">
        <f>43262*6</f>
        <v>259572</v>
      </c>
    </row>
    <row r="91" spans="1:25" x14ac:dyDescent="0.25">
      <c r="A91" s="130"/>
      <c r="B91" s="9"/>
      <c r="C91" s="9" t="s">
        <v>110</v>
      </c>
      <c r="D91" s="9"/>
      <c r="E91" s="9">
        <v>16300466037</v>
      </c>
      <c r="F91" s="57"/>
      <c r="G91" s="112">
        <v>450203.16</v>
      </c>
      <c r="H91" s="113"/>
      <c r="I91" s="113"/>
      <c r="J91" s="113"/>
      <c r="K91" s="113"/>
      <c r="L91" s="114"/>
      <c r="M91" s="30">
        <v>75030</v>
      </c>
      <c r="N91" s="30">
        <v>75030</v>
      </c>
      <c r="O91" s="30">
        <v>75030</v>
      </c>
      <c r="P91" s="30">
        <v>75030</v>
      </c>
      <c r="Q91" s="31"/>
      <c r="R91" s="37"/>
      <c r="S91" s="43"/>
      <c r="T91" s="39"/>
      <c r="U91" s="19"/>
      <c r="V91" s="19"/>
      <c r="W91" s="19"/>
      <c r="X91" s="19"/>
      <c r="Y91" s="19"/>
    </row>
    <row r="92" spans="1:25" x14ac:dyDescent="0.25">
      <c r="A92" s="130"/>
      <c r="B92" s="9"/>
      <c r="C92" s="9" t="s">
        <v>69</v>
      </c>
      <c r="D92" s="9"/>
      <c r="E92" s="9">
        <v>16300465749</v>
      </c>
      <c r="F92" s="57"/>
      <c r="G92" s="30">
        <v>89428</v>
      </c>
      <c r="H92" s="30">
        <v>89428</v>
      </c>
      <c r="I92" s="30">
        <v>89428</v>
      </c>
      <c r="J92" s="30">
        <v>89428</v>
      </c>
      <c r="K92" s="30">
        <v>89428</v>
      </c>
      <c r="L92" s="30">
        <v>89428</v>
      </c>
      <c r="M92" s="30">
        <v>89428</v>
      </c>
      <c r="N92" s="30">
        <v>89428</v>
      </c>
      <c r="O92" s="30">
        <v>89428</v>
      </c>
      <c r="P92" s="30">
        <v>89428</v>
      </c>
      <c r="Q92" s="31"/>
      <c r="R92" s="37"/>
      <c r="S92" s="43"/>
      <c r="T92" s="54">
        <f>262.5*12</f>
        <v>3150</v>
      </c>
      <c r="U92" s="18">
        <f>4090*12</f>
        <v>49080</v>
      </c>
      <c r="V92" s="18">
        <f>4090*12</f>
        <v>49080</v>
      </c>
      <c r="W92" s="18">
        <f>10427*12</f>
        <v>125124</v>
      </c>
      <c r="X92" s="18">
        <f>38966*6</f>
        <v>233796</v>
      </c>
      <c r="Y92" s="18">
        <f>52605*6</f>
        <v>315630</v>
      </c>
    </row>
    <row r="93" spans="1:25" x14ac:dyDescent="0.25">
      <c r="A93" s="130"/>
      <c r="B93" s="9"/>
      <c r="C93" s="9" t="s">
        <v>111</v>
      </c>
      <c r="D93" s="9"/>
      <c r="E93" s="9">
        <v>16300465358</v>
      </c>
      <c r="F93" s="57"/>
      <c r="G93" s="112">
        <v>328325.95</v>
      </c>
      <c r="H93" s="113"/>
      <c r="I93" s="113"/>
      <c r="J93" s="113"/>
      <c r="K93" s="113"/>
      <c r="L93" s="114"/>
      <c r="M93" s="30">
        <v>54720</v>
      </c>
      <c r="N93" s="30">
        <v>54720</v>
      </c>
      <c r="O93" s="30">
        <v>54720</v>
      </c>
      <c r="P93" s="30">
        <v>54720</v>
      </c>
      <c r="Q93" s="31"/>
      <c r="R93" s="37"/>
      <c r="S93" s="43"/>
      <c r="T93" s="39"/>
      <c r="U93" s="19"/>
      <c r="V93" s="19"/>
      <c r="W93" s="19"/>
      <c r="X93" s="19"/>
      <c r="Y93" s="19"/>
    </row>
    <row r="94" spans="1:25" x14ac:dyDescent="0.25">
      <c r="A94" s="130" t="s">
        <v>112</v>
      </c>
      <c r="B94" s="9"/>
      <c r="C94" s="9" t="s">
        <v>113</v>
      </c>
      <c r="D94" s="9"/>
      <c r="E94" s="9">
        <v>16300456557</v>
      </c>
      <c r="F94" s="57"/>
      <c r="G94" s="165"/>
      <c r="H94" s="112">
        <v>136136</v>
      </c>
      <c r="I94" s="113"/>
      <c r="J94" s="113"/>
      <c r="K94" s="114"/>
      <c r="L94" s="112">
        <v>68068</v>
      </c>
      <c r="M94" s="114"/>
      <c r="N94" s="71">
        <v>34034</v>
      </c>
      <c r="O94" s="71">
        <v>34034</v>
      </c>
      <c r="P94" s="30">
        <v>34034</v>
      </c>
      <c r="Q94" s="31"/>
      <c r="R94" s="37"/>
      <c r="S94" s="43"/>
      <c r="T94" s="39"/>
      <c r="U94" s="19"/>
      <c r="V94" s="19"/>
      <c r="W94" s="19"/>
      <c r="X94" s="19"/>
      <c r="Y94" s="19"/>
    </row>
    <row r="95" spans="1:25" x14ac:dyDescent="0.25">
      <c r="A95" s="130"/>
      <c r="B95" s="9"/>
      <c r="C95" s="9" t="s">
        <v>114</v>
      </c>
      <c r="D95" s="9"/>
      <c r="E95" s="9">
        <v>16300456362</v>
      </c>
      <c r="F95" s="57"/>
      <c r="G95" s="166"/>
      <c r="H95" s="112">
        <v>136136</v>
      </c>
      <c r="I95" s="113"/>
      <c r="J95" s="113"/>
      <c r="K95" s="114"/>
      <c r="L95" s="30">
        <v>30434</v>
      </c>
      <c r="M95" s="30">
        <v>34034</v>
      </c>
      <c r="N95" s="30">
        <v>34034</v>
      </c>
      <c r="O95" s="30">
        <v>34034</v>
      </c>
      <c r="P95" s="30">
        <v>34034</v>
      </c>
      <c r="Q95" s="31"/>
      <c r="R95" s="37"/>
      <c r="S95" s="43"/>
      <c r="T95" s="39"/>
      <c r="U95" s="19"/>
      <c r="V95" s="19"/>
      <c r="W95" s="19"/>
      <c r="X95" s="19"/>
      <c r="Y95" s="19"/>
    </row>
    <row r="96" spans="1:25" x14ac:dyDescent="0.25">
      <c r="A96" s="130"/>
      <c r="B96" s="9"/>
      <c r="C96" s="9" t="s">
        <v>115</v>
      </c>
      <c r="D96" s="9"/>
      <c r="E96" s="9">
        <v>16300456065</v>
      </c>
      <c r="F96" s="57"/>
      <c r="G96" s="166"/>
      <c r="H96" s="112">
        <v>136136</v>
      </c>
      <c r="I96" s="113"/>
      <c r="J96" s="113"/>
      <c r="K96" s="114"/>
      <c r="L96" s="112">
        <v>184136</v>
      </c>
      <c r="M96" s="113"/>
      <c r="N96" s="113"/>
      <c r="O96" s="114"/>
      <c r="P96" s="30">
        <v>34034</v>
      </c>
      <c r="Q96" s="31"/>
      <c r="R96" s="37"/>
      <c r="S96" s="43"/>
      <c r="T96" s="39"/>
      <c r="U96" s="19"/>
      <c r="V96" s="19"/>
      <c r="W96" s="19"/>
      <c r="X96" s="19"/>
      <c r="Y96" s="19"/>
    </row>
    <row r="97" spans="1:25" x14ac:dyDescent="0.25">
      <c r="A97" s="130"/>
      <c r="B97" s="9"/>
      <c r="C97" s="9" t="s">
        <v>116</v>
      </c>
      <c r="D97" s="9"/>
      <c r="E97" s="9">
        <v>16300455969</v>
      </c>
      <c r="F97" s="57"/>
      <c r="G97" s="166"/>
      <c r="H97" s="112">
        <v>102102</v>
      </c>
      <c r="I97" s="113"/>
      <c r="J97" s="114"/>
      <c r="K97" s="71">
        <v>34034</v>
      </c>
      <c r="L97" s="30">
        <v>34034</v>
      </c>
      <c r="M97" s="30">
        <v>34034</v>
      </c>
      <c r="N97" s="30">
        <v>34034</v>
      </c>
      <c r="O97" s="30">
        <v>34034</v>
      </c>
      <c r="P97" s="30">
        <v>34034</v>
      </c>
      <c r="Q97" s="31"/>
      <c r="R97" s="37"/>
      <c r="S97" s="43"/>
      <c r="T97" s="39"/>
      <c r="U97" s="19"/>
      <c r="V97" s="19"/>
      <c r="W97" s="19"/>
      <c r="X97" s="19"/>
      <c r="Y97" s="19"/>
    </row>
    <row r="98" spans="1:25" x14ac:dyDescent="0.25">
      <c r="A98" s="130"/>
      <c r="B98" s="9"/>
      <c r="C98" s="9" t="s">
        <v>117</v>
      </c>
      <c r="D98" s="9"/>
      <c r="E98" s="9">
        <v>16300455972</v>
      </c>
      <c r="F98" s="57"/>
      <c r="G98" s="166"/>
      <c r="H98" s="112">
        <v>184156</v>
      </c>
      <c r="I98" s="131"/>
      <c r="J98" s="131"/>
      <c r="K98" s="132"/>
      <c r="L98" s="112">
        <v>217850</v>
      </c>
      <c r="M98" s="113"/>
      <c r="N98" s="113"/>
      <c r="O98" s="113"/>
      <c r="P98" s="113"/>
      <c r="Q98" s="113"/>
      <c r="R98" s="115"/>
      <c r="S98" s="43"/>
      <c r="T98" s="39"/>
      <c r="U98" s="19"/>
      <c r="V98" s="19"/>
      <c r="W98" s="19"/>
      <c r="X98" s="19"/>
      <c r="Y98" s="19"/>
    </row>
    <row r="99" spans="1:25" x14ac:dyDescent="0.25">
      <c r="A99" s="130"/>
      <c r="B99" s="9"/>
      <c r="C99" s="9" t="s">
        <v>118</v>
      </c>
      <c r="D99" s="9"/>
      <c r="E99" s="9">
        <v>16300455977</v>
      </c>
      <c r="F99" s="57"/>
      <c r="G99" s="166"/>
      <c r="H99" s="112">
        <v>184156</v>
      </c>
      <c r="I99" s="113"/>
      <c r="J99" s="113"/>
      <c r="K99" s="114"/>
      <c r="L99" s="112">
        <v>217850</v>
      </c>
      <c r="M99" s="131"/>
      <c r="N99" s="131"/>
      <c r="O99" s="131"/>
      <c r="P99" s="131"/>
      <c r="Q99" s="131"/>
      <c r="R99" s="144"/>
      <c r="S99" s="43"/>
      <c r="T99" s="39"/>
      <c r="U99" s="19"/>
      <c r="V99" s="19"/>
      <c r="W99" s="19"/>
      <c r="X99" s="19"/>
      <c r="Y99" s="19"/>
    </row>
    <row r="100" spans="1:25" x14ac:dyDescent="0.25">
      <c r="A100" s="130"/>
      <c r="B100" s="9"/>
      <c r="C100" s="9" t="s">
        <v>119</v>
      </c>
      <c r="D100" s="9"/>
      <c r="E100" s="9">
        <v>16300455882</v>
      </c>
      <c r="F100" s="57"/>
      <c r="G100" s="167"/>
      <c r="H100" s="73">
        <v>41800</v>
      </c>
      <c r="I100" s="73">
        <v>41800</v>
      </c>
      <c r="J100" s="73">
        <v>41800</v>
      </c>
      <c r="K100" s="73">
        <v>41800</v>
      </c>
      <c r="L100" s="112">
        <v>83600</v>
      </c>
      <c r="M100" s="114"/>
      <c r="N100" s="73">
        <v>41800</v>
      </c>
      <c r="O100" s="73">
        <v>41800</v>
      </c>
      <c r="P100" s="73">
        <v>41800</v>
      </c>
      <c r="Q100" s="31"/>
      <c r="R100" s="37"/>
      <c r="S100" s="43"/>
      <c r="T100" s="39"/>
      <c r="U100" s="19"/>
      <c r="V100" s="19"/>
      <c r="W100" s="19"/>
      <c r="X100" s="19"/>
      <c r="Y100" s="19"/>
    </row>
    <row r="101" spans="1:25" x14ac:dyDescent="0.25">
      <c r="A101" s="11" t="s">
        <v>120</v>
      </c>
      <c r="B101" s="9"/>
      <c r="C101" s="9">
        <v>10</v>
      </c>
      <c r="D101" s="9"/>
      <c r="E101" s="9"/>
      <c r="F101" s="57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2"/>
      <c r="S101" s="43"/>
      <c r="T101" s="39"/>
      <c r="U101" s="19"/>
      <c r="V101" s="19"/>
      <c r="W101" s="19"/>
      <c r="X101" s="19"/>
      <c r="Y101" s="19"/>
    </row>
    <row r="102" spans="1:25" x14ac:dyDescent="0.25">
      <c r="A102" s="11" t="s">
        <v>121</v>
      </c>
      <c r="B102" s="9"/>
      <c r="C102" s="9">
        <v>48</v>
      </c>
      <c r="D102" s="9"/>
      <c r="E102" s="9">
        <v>16300470046</v>
      </c>
      <c r="F102" s="57"/>
      <c r="G102" s="30">
        <v>24500</v>
      </c>
      <c r="H102" s="30">
        <v>24500</v>
      </c>
      <c r="I102" s="30">
        <v>24500</v>
      </c>
      <c r="J102" s="30">
        <v>24500</v>
      </c>
      <c r="K102" s="30">
        <v>24500</v>
      </c>
      <c r="L102" s="30">
        <v>24500</v>
      </c>
      <c r="M102" s="30">
        <v>24500</v>
      </c>
      <c r="N102" s="30">
        <v>24500</v>
      </c>
      <c r="O102" s="30">
        <v>24500</v>
      </c>
      <c r="P102" s="30">
        <v>24500</v>
      </c>
      <c r="Q102" s="31"/>
      <c r="R102" s="37"/>
      <c r="S102" s="43"/>
      <c r="T102" s="39"/>
      <c r="U102" s="19"/>
      <c r="V102" s="19"/>
      <c r="W102" s="19"/>
      <c r="X102" s="18">
        <f>5500*6</f>
        <v>33000</v>
      </c>
      <c r="Y102" s="18">
        <f>11100*6</f>
        <v>66600</v>
      </c>
    </row>
    <row r="103" spans="1:25" x14ac:dyDescent="0.25">
      <c r="A103" s="11" t="s">
        <v>122</v>
      </c>
      <c r="B103" s="32">
        <v>25640407</v>
      </c>
      <c r="C103" s="9">
        <v>45</v>
      </c>
      <c r="D103" s="9"/>
      <c r="E103" s="9">
        <v>16300470239</v>
      </c>
      <c r="F103" s="57"/>
      <c r="G103" s="112">
        <v>255960</v>
      </c>
      <c r="H103" s="113"/>
      <c r="I103" s="113"/>
      <c r="J103" s="113"/>
      <c r="K103" s="113"/>
      <c r="L103" s="114"/>
      <c r="M103" s="112">
        <v>255960</v>
      </c>
      <c r="N103" s="113"/>
      <c r="O103" s="113"/>
      <c r="P103" s="113"/>
      <c r="Q103" s="113"/>
      <c r="R103" s="114"/>
      <c r="S103" s="43"/>
      <c r="T103" s="39"/>
      <c r="U103" s="19"/>
      <c r="V103" s="19"/>
      <c r="W103" s="19"/>
      <c r="X103" s="19"/>
      <c r="Y103" s="19"/>
    </row>
    <row r="104" spans="1:25" x14ac:dyDescent="0.25">
      <c r="A104" s="11" t="s">
        <v>123</v>
      </c>
      <c r="B104" s="32">
        <v>36257009</v>
      </c>
      <c r="C104" s="9">
        <v>15</v>
      </c>
      <c r="D104" s="9" t="s">
        <v>13</v>
      </c>
      <c r="E104" s="9" t="s">
        <v>77</v>
      </c>
      <c r="F104" s="57"/>
      <c r="G104" s="76">
        <v>18600</v>
      </c>
      <c r="H104" s="77">
        <v>18600</v>
      </c>
      <c r="I104" s="77">
        <v>18600</v>
      </c>
      <c r="J104" s="77">
        <v>18600</v>
      </c>
      <c r="K104" s="77">
        <v>18600</v>
      </c>
      <c r="L104" s="77">
        <v>18600</v>
      </c>
      <c r="M104" s="77">
        <v>18600</v>
      </c>
      <c r="N104" s="77">
        <v>18600</v>
      </c>
      <c r="O104" s="77">
        <v>18600</v>
      </c>
      <c r="P104" s="77">
        <v>18600</v>
      </c>
      <c r="Q104" s="74"/>
      <c r="R104" s="75"/>
      <c r="S104" s="43"/>
      <c r="T104" s="54">
        <f>262.5*12</f>
        <v>3150</v>
      </c>
      <c r="U104" s="18">
        <f>412.5*12</f>
        <v>4950</v>
      </c>
      <c r="V104" s="18">
        <f>412.5*12</f>
        <v>4950</v>
      </c>
      <c r="W104" s="18">
        <f>1000*12</f>
        <v>12000</v>
      </c>
      <c r="X104" s="18">
        <f>1989*6</f>
        <v>11934</v>
      </c>
      <c r="Y104" s="18">
        <f>8989*6</f>
        <v>53934</v>
      </c>
    </row>
    <row r="105" spans="1:25" x14ac:dyDescent="0.25">
      <c r="A105" s="11" t="s">
        <v>124</v>
      </c>
      <c r="B105" s="32">
        <v>12800221</v>
      </c>
      <c r="C105" s="9">
        <v>10</v>
      </c>
      <c r="D105" s="9"/>
      <c r="E105" s="9">
        <v>16300481400</v>
      </c>
      <c r="F105" s="57"/>
      <c r="G105" s="137" t="s">
        <v>745</v>
      </c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9"/>
      <c r="S105" s="43"/>
      <c r="T105" s="39"/>
      <c r="U105" s="19"/>
      <c r="V105" s="19"/>
      <c r="W105" s="19"/>
      <c r="X105" s="19"/>
      <c r="Y105" s="19"/>
    </row>
    <row r="106" spans="1:25" x14ac:dyDescent="0.25">
      <c r="A106" s="11" t="s">
        <v>125</v>
      </c>
      <c r="B106" s="9"/>
      <c r="C106" s="9">
        <v>37</v>
      </c>
      <c r="D106" s="9"/>
      <c r="E106" s="9">
        <v>16300463739</v>
      </c>
      <c r="F106" s="57"/>
      <c r="G106" s="168" t="s">
        <v>750</v>
      </c>
      <c r="H106" s="113"/>
      <c r="I106" s="113"/>
      <c r="J106" s="113"/>
      <c r="K106" s="113"/>
      <c r="L106" s="114"/>
      <c r="M106" s="112">
        <v>946123.2</v>
      </c>
      <c r="N106" s="113"/>
      <c r="O106" s="113"/>
      <c r="P106" s="113"/>
      <c r="Q106" s="113"/>
      <c r="R106" s="115"/>
      <c r="S106" s="43"/>
      <c r="T106" s="39"/>
      <c r="U106" s="19"/>
      <c r="V106" s="19"/>
      <c r="W106" s="19"/>
      <c r="X106" s="19"/>
      <c r="Y106" s="19"/>
    </row>
    <row r="107" spans="1:25" x14ac:dyDescent="0.25">
      <c r="A107" s="11" t="s">
        <v>126</v>
      </c>
      <c r="B107" s="32">
        <v>25597876</v>
      </c>
      <c r="C107" s="9">
        <v>50</v>
      </c>
      <c r="D107" s="9"/>
      <c r="E107" s="9">
        <v>16300476678</v>
      </c>
      <c r="F107" s="57"/>
      <c r="G107" s="112">
        <v>1283732.6000000001</v>
      </c>
      <c r="H107" s="113"/>
      <c r="I107" s="113"/>
      <c r="J107" s="113"/>
      <c r="K107" s="113"/>
      <c r="L107" s="132"/>
      <c r="M107" s="112">
        <v>1282200</v>
      </c>
      <c r="N107" s="113"/>
      <c r="O107" s="113"/>
      <c r="P107" s="113"/>
      <c r="Q107" s="113"/>
      <c r="R107" s="132"/>
      <c r="S107" s="43"/>
      <c r="T107" s="39"/>
      <c r="U107" s="19"/>
      <c r="V107" s="19"/>
      <c r="W107" s="19"/>
      <c r="X107" s="19"/>
      <c r="Y107" s="19"/>
    </row>
    <row r="108" spans="1:25" x14ac:dyDescent="0.25">
      <c r="A108" s="11" t="s">
        <v>127</v>
      </c>
      <c r="B108" s="9"/>
      <c r="C108" s="9" t="s">
        <v>128</v>
      </c>
      <c r="D108" s="9"/>
      <c r="E108" s="9">
        <v>16300468825</v>
      </c>
      <c r="F108" s="57"/>
      <c r="G108" s="112">
        <f>127967*6</f>
        <v>767802</v>
      </c>
      <c r="H108" s="131"/>
      <c r="I108" s="131"/>
      <c r="J108" s="131"/>
      <c r="K108" s="131"/>
      <c r="L108" s="132"/>
      <c r="M108" s="30">
        <v>127967</v>
      </c>
      <c r="N108" s="30">
        <v>127967</v>
      </c>
      <c r="O108" s="30">
        <v>127967</v>
      </c>
      <c r="P108" s="30">
        <v>127967</v>
      </c>
      <c r="Q108" s="31"/>
      <c r="R108" s="37"/>
      <c r="S108" s="43"/>
      <c r="T108" s="39"/>
      <c r="U108" s="19"/>
      <c r="V108" s="19"/>
      <c r="W108" s="19"/>
      <c r="X108" s="19"/>
      <c r="Y108" s="19"/>
    </row>
    <row r="109" spans="1:25" x14ac:dyDescent="0.25">
      <c r="A109" s="11" t="s">
        <v>129</v>
      </c>
      <c r="B109" s="9"/>
      <c r="C109" s="9">
        <v>4</v>
      </c>
      <c r="D109" s="9" t="s">
        <v>13</v>
      </c>
      <c r="E109" s="9" t="s">
        <v>77</v>
      </c>
      <c r="F109" s="57"/>
      <c r="G109" s="112">
        <v>37200</v>
      </c>
      <c r="H109" s="114"/>
      <c r="I109" s="66">
        <v>18600</v>
      </c>
      <c r="J109" s="66">
        <v>18600</v>
      </c>
      <c r="K109" s="66">
        <v>18600</v>
      </c>
      <c r="L109" s="66">
        <v>18600</v>
      </c>
      <c r="M109" s="66">
        <v>18600</v>
      </c>
      <c r="N109" s="66">
        <v>18600</v>
      </c>
      <c r="O109" s="66">
        <v>18600</v>
      </c>
      <c r="P109" s="66">
        <v>18600</v>
      </c>
      <c r="Q109" s="31"/>
      <c r="R109" s="37"/>
      <c r="S109" s="43"/>
      <c r="T109" s="39"/>
      <c r="U109" s="19"/>
      <c r="V109" s="19"/>
      <c r="W109" s="19"/>
      <c r="X109" s="19"/>
      <c r="Y109" s="19"/>
    </row>
    <row r="110" spans="1:25" x14ac:dyDescent="0.25">
      <c r="A110" s="11" t="s">
        <v>130</v>
      </c>
      <c r="B110" s="9"/>
      <c r="C110" s="9" t="s">
        <v>131</v>
      </c>
      <c r="D110" s="9"/>
      <c r="E110" s="9">
        <v>16300468732</v>
      </c>
      <c r="F110" s="57"/>
      <c r="G110" s="30">
        <v>110120</v>
      </c>
      <c r="H110" s="30">
        <v>110120</v>
      </c>
      <c r="I110" s="30">
        <v>110120</v>
      </c>
      <c r="J110" s="30">
        <v>110120</v>
      </c>
      <c r="K110" s="30">
        <v>110120</v>
      </c>
      <c r="L110" s="30">
        <v>110120</v>
      </c>
      <c r="M110" s="30">
        <v>110120</v>
      </c>
      <c r="N110" s="30">
        <v>110120</v>
      </c>
      <c r="O110" s="30">
        <v>110120</v>
      </c>
      <c r="P110" s="30">
        <v>110120</v>
      </c>
      <c r="Q110" s="31"/>
      <c r="R110" s="37"/>
      <c r="S110" s="43"/>
      <c r="T110" s="54"/>
      <c r="U110" s="18"/>
      <c r="V110" s="18">
        <f>50148</f>
        <v>50148</v>
      </c>
      <c r="W110" s="18">
        <f>11840*12</f>
        <v>142080</v>
      </c>
      <c r="X110" s="18">
        <f>47900*6</f>
        <v>287400</v>
      </c>
      <c r="Y110" s="18">
        <f>64700*6</f>
        <v>388200</v>
      </c>
    </row>
    <row r="111" spans="1:25" x14ac:dyDescent="0.25">
      <c r="A111" s="11" t="s">
        <v>132</v>
      </c>
      <c r="B111" s="32">
        <v>12945140</v>
      </c>
      <c r="C111" s="9" t="s">
        <v>133</v>
      </c>
      <c r="D111" s="9"/>
      <c r="E111" s="9">
        <v>16300469018</v>
      </c>
      <c r="F111" s="57"/>
      <c r="G111" s="112">
        <v>414860</v>
      </c>
      <c r="H111" s="114"/>
      <c r="I111" s="71">
        <v>207430</v>
      </c>
      <c r="J111" s="71">
        <v>207430</v>
      </c>
      <c r="K111" s="71">
        <v>207430</v>
      </c>
      <c r="L111" s="71">
        <v>207430</v>
      </c>
      <c r="M111" s="71">
        <v>207430</v>
      </c>
      <c r="N111" s="71">
        <v>207430</v>
      </c>
      <c r="O111" s="71">
        <v>207430</v>
      </c>
      <c r="P111" s="30">
        <v>207430</v>
      </c>
      <c r="Q111" s="31"/>
      <c r="R111" s="37"/>
      <c r="S111" s="43"/>
      <c r="T111" s="39"/>
      <c r="U111" s="19"/>
      <c r="V111" s="19"/>
      <c r="W111" s="19"/>
      <c r="X111" s="19"/>
      <c r="Y111" s="19"/>
    </row>
    <row r="112" spans="1:25" x14ac:dyDescent="0.25">
      <c r="A112" s="130" t="s">
        <v>134</v>
      </c>
      <c r="B112" s="9" t="s">
        <v>693</v>
      </c>
      <c r="C112" s="4" t="s">
        <v>39</v>
      </c>
      <c r="D112" s="9"/>
      <c r="E112" s="9">
        <v>16300465085</v>
      </c>
      <c r="F112" s="57"/>
      <c r="G112" s="79">
        <v>132500</v>
      </c>
      <c r="H112" s="79">
        <v>132500</v>
      </c>
      <c r="I112" s="79">
        <v>132500</v>
      </c>
      <c r="J112" s="79">
        <v>132500</v>
      </c>
      <c r="K112" s="79">
        <v>132500</v>
      </c>
      <c r="L112" s="79">
        <v>132500</v>
      </c>
      <c r="M112" s="79">
        <v>132500</v>
      </c>
      <c r="N112" s="79">
        <v>132500</v>
      </c>
      <c r="O112" s="79">
        <v>132500</v>
      </c>
      <c r="P112" s="79">
        <v>132500</v>
      </c>
      <c r="Q112" s="67"/>
      <c r="R112" s="68"/>
      <c r="S112" s="44"/>
      <c r="T112" s="39"/>
      <c r="U112" s="19"/>
      <c r="V112" s="19"/>
      <c r="W112" s="19"/>
      <c r="X112" s="19"/>
      <c r="Y112" s="19"/>
    </row>
    <row r="113" spans="1:25" x14ac:dyDescent="0.25">
      <c r="A113" s="130"/>
      <c r="B113" s="9"/>
      <c r="C113" s="4" t="s">
        <v>135</v>
      </c>
      <c r="D113" s="9"/>
      <c r="E113" s="9">
        <v>16300464792</v>
      </c>
      <c r="F113" s="57"/>
      <c r="G113" s="78">
        <v>42600</v>
      </c>
      <c r="H113" s="79">
        <v>42600</v>
      </c>
      <c r="I113" s="79">
        <v>42600</v>
      </c>
      <c r="J113" s="79">
        <v>42600</v>
      </c>
      <c r="K113" s="79">
        <v>42600</v>
      </c>
      <c r="L113" s="79">
        <v>42600</v>
      </c>
      <c r="M113" s="79">
        <v>42600</v>
      </c>
      <c r="N113" s="79">
        <v>42600</v>
      </c>
      <c r="O113" s="79">
        <v>42600</v>
      </c>
      <c r="P113" s="79">
        <v>42600</v>
      </c>
      <c r="Q113" s="67"/>
      <c r="R113" s="68"/>
      <c r="S113" s="44"/>
      <c r="T113" s="39"/>
      <c r="U113" s="19"/>
      <c r="V113" s="19"/>
      <c r="W113" s="19"/>
      <c r="X113" s="19"/>
      <c r="Y113" s="19"/>
    </row>
    <row r="114" spans="1:25" x14ac:dyDescent="0.25">
      <c r="A114" s="11" t="s">
        <v>136</v>
      </c>
      <c r="B114" s="9"/>
      <c r="C114" s="9" t="s">
        <v>137</v>
      </c>
      <c r="D114" s="9"/>
      <c r="E114" s="9">
        <v>16300446616</v>
      </c>
      <c r="F114" s="57"/>
      <c r="G114" s="79">
        <v>131800</v>
      </c>
      <c r="H114" s="79">
        <v>131800</v>
      </c>
      <c r="I114" s="79">
        <v>131800</v>
      </c>
      <c r="J114" s="79">
        <v>131800</v>
      </c>
      <c r="K114" s="79">
        <v>131800</v>
      </c>
      <c r="L114" s="79">
        <v>131800</v>
      </c>
      <c r="M114" s="79">
        <v>131800</v>
      </c>
      <c r="N114" s="79">
        <v>131800</v>
      </c>
      <c r="O114" s="79">
        <v>131800</v>
      </c>
      <c r="P114" s="79">
        <v>131800</v>
      </c>
      <c r="Q114" s="67"/>
      <c r="R114" s="68"/>
      <c r="S114" s="44"/>
      <c r="T114" s="39"/>
      <c r="U114" s="19"/>
      <c r="V114" s="19"/>
      <c r="W114" s="19"/>
      <c r="X114" s="19"/>
      <c r="Y114" s="19"/>
    </row>
    <row r="115" spans="1:25" x14ac:dyDescent="0.25">
      <c r="A115" s="11" t="s">
        <v>138</v>
      </c>
      <c r="B115" s="9"/>
      <c r="C115" s="9">
        <v>2</v>
      </c>
      <c r="D115" s="9" t="s">
        <v>13</v>
      </c>
      <c r="E115" s="9" t="s">
        <v>77</v>
      </c>
      <c r="F115" s="57"/>
      <c r="G115" s="116">
        <v>100440</v>
      </c>
      <c r="H115" s="117"/>
      <c r="I115" s="117"/>
      <c r="J115" s="117"/>
      <c r="K115" s="117"/>
      <c r="L115" s="118"/>
      <c r="M115" s="116">
        <v>37440</v>
      </c>
      <c r="N115" s="118"/>
      <c r="O115" s="79">
        <v>18600</v>
      </c>
      <c r="P115" s="79">
        <v>18600</v>
      </c>
      <c r="Q115" s="67"/>
      <c r="R115" s="68"/>
      <c r="S115" s="44"/>
      <c r="T115" s="39"/>
      <c r="U115" s="19"/>
      <c r="V115" s="19"/>
      <c r="W115" s="19"/>
      <c r="X115" s="19"/>
      <c r="Y115" s="19"/>
    </row>
    <row r="116" spans="1:25" x14ac:dyDescent="0.25">
      <c r="A116" s="11" t="s">
        <v>749</v>
      </c>
      <c r="B116" s="9"/>
      <c r="C116" s="9">
        <v>41</v>
      </c>
      <c r="D116" s="9"/>
      <c r="E116" s="9">
        <v>16300470631</v>
      </c>
      <c r="F116" s="57"/>
      <c r="G116" s="116">
        <v>100440</v>
      </c>
      <c r="H116" s="117"/>
      <c r="I116" s="117"/>
      <c r="J116" s="117"/>
      <c r="K116" s="117"/>
      <c r="L116" s="118"/>
      <c r="M116" s="79">
        <v>18600</v>
      </c>
      <c r="N116" s="79">
        <v>18600</v>
      </c>
      <c r="O116" s="79">
        <v>18600</v>
      </c>
      <c r="P116" s="79">
        <v>18600</v>
      </c>
      <c r="Q116" s="67"/>
      <c r="R116" s="68"/>
      <c r="S116" s="44"/>
      <c r="T116" s="39"/>
      <c r="U116" s="19"/>
      <c r="V116" s="19"/>
      <c r="W116" s="19"/>
      <c r="X116" s="19"/>
      <c r="Y116" s="19"/>
    </row>
    <row r="117" spans="1:25" x14ac:dyDescent="0.25">
      <c r="A117" s="11" t="s">
        <v>139</v>
      </c>
      <c r="B117" s="9"/>
      <c r="C117" s="9">
        <v>6</v>
      </c>
      <c r="D117" s="9"/>
      <c r="E117" s="9">
        <v>16300482507</v>
      </c>
      <c r="F117" s="57"/>
      <c r="G117" s="79">
        <v>44070</v>
      </c>
      <c r="H117" s="79">
        <v>44070</v>
      </c>
      <c r="I117" s="79">
        <v>44070</v>
      </c>
      <c r="J117" s="79">
        <v>44070</v>
      </c>
      <c r="K117" s="79">
        <v>44070</v>
      </c>
      <c r="L117" s="79">
        <v>44070</v>
      </c>
      <c r="M117" s="79">
        <v>44070</v>
      </c>
      <c r="N117" s="79">
        <v>44070</v>
      </c>
      <c r="O117" s="79">
        <v>44070</v>
      </c>
      <c r="P117" s="79">
        <v>44070</v>
      </c>
      <c r="Q117" s="67"/>
      <c r="R117" s="68"/>
      <c r="S117" s="44"/>
      <c r="T117" s="39"/>
      <c r="U117" s="19"/>
      <c r="V117" s="19"/>
      <c r="W117" s="19"/>
      <c r="X117" s="19"/>
      <c r="Y117" s="19"/>
    </row>
    <row r="118" spans="1:25" x14ac:dyDescent="0.25">
      <c r="A118" s="11" t="s">
        <v>140</v>
      </c>
      <c r="B118" s="9"/>
      <c r="C118" s="9">
        <v>6</v>
      </c>
      <c r="D118" s="9"/>
      <c r="E118" s="9">
        <v>16300465984</v>
      </c>
      <c r="F118" s="57"/>
      <c r="G118" s="79">
        <v>24290</v>
      </c>
      <c r="H118" s="79">
        <v>24290</v>
      </c>
      <c r="I118" s="79">
        <v>24290</v>
      </c>
      <c r="J118" s="79">
        <v>24290</v>
      </c>
      <c r="K118" s="79">
        <v>24290</v>
      </c>
      <c r="L118" s="79">
        <v>24290</v>
      </c>
      <c r="M118" s="79">
        <v>24290</v>
      </c>
      <c r="N118" s="79">
        <v>24290</v>
      </c>
      <c r="O118" s="79">
        <v>24290</v>
      </c>
      <c r="P118" s="79">
        <v>24290</v>
      </c>
      <c r="Q118" s="67"/>
      <c r="R118" s="68"/>
      <c r="S118" s="44"/>
      <c r="T118" s="39"/>
      <c r="U118" s="19"/>
      <c r="V118" s="19"/>
      <c r="W118" s="19"/>
      <c r="X118" s="19"/>
      <c r="Y118" s="19"/>
    </row>
    <row r="119" spans="1:25" x14ac:dyDescent="0.25">
      <c r="A119" s="11" t="s">
        <v>141</v>
      </c>
      <c r="B119" s="32">
        <v>12679593</v>
      </c>
      <c r="C119" s="9">
        <v>34</v>
      </c>
      <c r="D119" s="9"/>
      <c r="E119" s="9">
        <v>16300470163</v>
      </c>
      <c r="F119" s="57"/>
      <c r="G119" s="79">
        <v>25400</v>
      </c>
      <c r="H119" s="79">
        <v>25400</v>
      </c>
      <c r="I119" s="79">
        <v>25400</v>
      </c>
      <c r="J119" s="79">
        <v>25400</v>
      </c>
      <c r="K119" s="79">
        <v>25400</v>
      </c>
      <c r="L119" s="79">
        <v>25400</v>
      </c>
      <c r="M119" s="79">
        <v>25400</v>
      </c>
      <c r="N119" s="79">
        <v>25400</v>
      </c>
      <c r="O119" s="79">
        <v>25400</v>
      </c>
      <c r="P119" s="79">
        <v>25400</v>
      </c>
      <c r="Q119" s="67"/>
      <c r="R119" s="68"/>
      <c r="S119" s="44"/>
      <c r="T119" s="39"/>
      <c r="U119" s="19"/>
      <c r="V119" s="19"/>
      <c r="W119" s="19"/>
      <c r="X119" s="19"/>
      <c r="Y119" s="18">
        <f>12540*4</f>
        <v>50160</v>
      </c>
    </row>
    <row r="120" spans="1:25" x14ac:dyDescent="0.25">
      <c r="A120" s="11" t="s">
        <v>694</v>
      </c>
      <c r="B120" s="32">
        <v>14797063</v>
      </c>
      <c r="C120" s="9">
        <v>8</v>
      </c>
      <c r="D120" s="9" t="s">
        <v>13</v>
      </c>
      <c r="E120" s="9" t="s">
        <v>77</v>
      </c>
      <c r="F120" s="57"/>
      <c r="G120" s="80">
        <v>18600</v>
      </c>
      <c r="H120" s="81">
        <v>18600</v>
      </c>
      <c r="I120" s="81">
        <v>18600</v>
      </c>
      <c r="J120" s="81">
        <v>18600</v>
      </c>
      <c r="K120" s="81">
        <v>18600</v>
      </c>
      <c r="L120" s="82">
        <v>18600</v>
      </c>
      <c r="M120" s="79">
        <v>18600</v>
      </c>
      <c r="N120" s="79">
        <v>18600</v>
      </c>
      <c r="O120" s="79">
        <v>18600</v>
      </c>
      <c r="P120" s="79">
        <v>18600</v>
      </c>
      <c r="Q120" s="67"/>
      <c r="R120" s="68"/>
      <c r="S120" s="44"/>
      <c r="T120" s="39"/>
      <c r="U120" s="19"/>
      <c r="V120" s="19"/>
      <c r="W120" s="19"/>
      <c r="X120" s="19"/>
      <c r="Y120" s="18">
        <f>8989*6</f>
        <v>53934</v>
      </c>
    </row>
    <row r="121" spans="1:25" x14ac:dyDescent="0.25">
      <c r="A121" s="11" t="s">
        <v>695</v>
      </c>
      <c r="B121" s="32">
        <v>31475208</v>
      </c>
      <c r="C121" s="9"/>
      <c r="D121" s="9"/>
      <c r="E121" s="9"/>
      <c r="F121" s="57"/>
      <c r="G121" s="79">
        <v>18600</v>
      </c>
      <c r="H121" s="79">
        <v>18600</v>
      </c>
      <c r="I121" s="79">
        <v>18600</v>
      </c>
      <c r="J121" s="79">
        <v>18600</v>
      </c>
      <c r="K121" s="79">
        <v>18600</v>
      </c>
      <c r="L121" s="79">
        <v>18600</v>
      </c>
      <c r="M121" s="79">
        <v>18600</v>
      </c>
      <c r="N121" s="79">
        <v>18600</v>
      </c>
      <c r="O121" s="79">
        <v>18600</v>
      </c>
      <c r="P121" s="79">
        <v>18600</v>
      </c>
      <c r="Q121" s="67"/>
      <c r="R121" s="68"/>
      <c r="S121" s="44"/>
      <c r="T121" s="39"/>
      <c r="U121" s="19"/>
      <c r="V121" s="19"/>
      <c r="W121" s="18">
        <f>1000*12</f>
        <v>12000</v>
      </c>
      <c r="X121" s="18">
        <f>1989*6</f>
        <v>11934</v>
      </c>
      <c r="Y121" s="18">
        <f>8989*6</f>
        <v>53934</v>
      </c>
    </row>
    <row r="122" spans="1:25" x14ac:dyDescent="0.25">
      <c r="A122" s="11" t="s">
        <v>142</v>
      </c>
      <c r="B122" s="9"/>
      <c r="C122" s="9">
        <v>3</v>
      </c>
      <c r="D122" s="9"/>
      <c r="E122" s="9">
        <v>16300465795</v>
      </c>
      <c r="F122" s="57"/>
      <c r="G122" s="78">
        <v>35577</v>
      </c>
      <c r="H122" s="78">
        <v>35577</v>
      </c>
      <c r="I122" s="78">
        <v>35577</v>
      </c>
      <c r="J122" s="78">
        <v>35577</v>
      </c>
      <c r="K122" s="78">
        <v>35577</v>
      </c>
      <c r="L122" s="78">
        <v>35577</v>
      </c>
      <c r="M122" s="78">
        <v>35577</v>
      </c>
      <c r="N122" s="78">
        <v>35577</v>
      </c>
      <c r="O122" s="78">
        <v>35577</v>
      </c>
      <c r="P122" s="78">
        <v>35577</v>
      </c>
      <c r="Q122" s="67"/>
      <c r="R122" s="68"/>
      <c r="S122" s="44"/>
      <c r="T122" s="39"/>
      <c r="U122" s="19"/>
      <c r="V122" s="19"/>
      <c r="W122" s="19"/>
      <c r="X122" s="19"/>
      <c r="Y122" s="19"/>
    </row>
    <row r="123" spans="1:25" x14ac:dyDescent="0.25">
      <c r="A123" s="11" t="s">
        <v>143</v>
      </c>
      <c r="B123" s="9"/>
      <c r="C123" s="9" t="s">
        <v>144</v>
      </c>
      <c r="D123" s="9"/>
      <c r="E123" s="9"/>
      <c r="F123" s="57"/>
      <c r="G123" s="116">
        <v>397200</v>
      </c>
      <c r="H123" s="122"/>
      <c r="I123" s="79">
        <v>18600</v>
      </c>
      <c r="J123" s="79">
        <v>78600</v>
      </c>
      <c r="K123" s="79">
        <v>78600</v>
      </c>
      <c r="L123" s="79">
        <v>78600</v>
      </c>
      <c r="M123" s="79">
        <v>78600</v>
      </c>
      <c r="N123" s="79">
        <v>78600</v>
      </c>
      <c r="O123" s="79">
        <v>78600</v>
      </c>
      <c r="P123" s="79">
        <v>78600</v>
      </c>
      <c r="Q123" s="67"/>
      <c r="R123" s="68"/>
      <c r="S123" s="44"/>
      <c r="T123" s="39"/>
      <c r="U123" s="19"/>
      <c r="V123" s="19"/>
      <c r="W123" s="19"/>
      <c r="X123" s="19"/>
      <c r="Y123" s="19"/>
    </row>
    <row r="124" spans="1:25" x14ac:dyDescent="0.25">
      <c r="A124" s="11" t="s">
        <v>696</v>
      </c>
      <c r="B124" s="32">
        <v>16108496</v>
      </c>
      <c r="C124" s="9" t="s">
        <v>145</v>
      </c>
      <c r="D124" s="9"/>
      <c r="E124" s="9">
        <v>16300471391</v>
      </c>
      <c r="F124" s="5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8"/>
      <c r="S124" s="44"/>
      <c r="T124" s="39"/>
      <c r="U124" s="19"/>
      <c r="V124" s="19"/>
      <c r="W124" s="19"/>
      <c r="X124" s="19"/>
      <c r="Y124" s="19"/>
    </row>
    <row r="125" spans="1:25" x14ac:dyDescent="0.25">
      <c r="A125" s="11" t="s">
        <v>147</v>
      </c>
      <c r="B125" s="9"/>
      <c r="C125" s="9" t="s">
        <v>146</v>
      </c>
      <c r="D125" s="9"/>
      <c r="E125" s="9">
        <v>16300471291</v>
      </c>
      <c r="F125" s="5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8"/>
      <c r="S125" s="44"/>
      <c r="T125" s="39"/>
      <c r="U125" s="19"/>
      <c r="V125" s="19"/>
      <c r="W125" s="19"/>
      <c r="X125" s="19"/>
      <c r="Y125" s="19"/>
    </row>
    <row r="126" spans="1:25" x14ac:dyDescent="0.25">
      <c r="A126" s="11" t="s">
        <v>697</v>
      </c>
      <c r="B126" s="32">
        <v>34663132</v>
      </c>
      <c r="C126" s="9">
        <v>54</v>
      </c>
      <c r="D126" s="9"/>
      <c r="E126" s="9" t="s">
        <v>77</v>
      </c>
      <c r="F126" s="5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8"/>
      <c r="S126" s="44"/>
      <c r="T126" s="39"/>
      <c r="U126" s="19"/>
      <c r="V126" s="19"/>
      <c r="W126" s="19"/>
      <c r="X126" s="19"/>
      <c r="Y126" s="19"/>
    </row>
    <row r="127" spans="1:25" x14ac:dyDescent="0.25">
      <c r="A127" s="11" t="s">
        <v>698</v>
      </c>
      <c r="B127" s="32">
        <v>12648914</v>
      </c>
      <c r="C127" s="9">
        <v>68</v>
      </c>
      <c r="D127" s="9"/>
      <c r="E127" s="9" t="s">
        <v>77</v>
      </c>
      <c r="F127" s="57"/>
      <c r="G127" s="116">
        <v>59460</v>
      </c>
      <c r="H127" s="121"/>
      <c r="I127" s="122"/>
      <c r="J127" s="79">
        <v>19820</v>
      </c>
      <c r="K127" s="79">
        <v>19820</v>
      </c>
      <c r="L127" s="79">
        <v>19820</v>
      </c>
      <c r="M127" s="79">
        <v>19820</v>
      </c>
      <c r="N127" s="79">
        <v>19820</v>
      </c>
      <c r="O127" s="79">
        <v>19820</v>
      </c>
      <c r="P127" s="79">
        <v>19820</v>
      </c>
      <c r="Q127" s="67"/>
      <c r="R127" s="68"/>
      <c r="S127" s="44"/>
      <c r="T127" s="39"/>
      <c r="U127" s="19"/>
      <c r="V127" s="19"/>
      <c r="W127" s="19"/>
      <c r="X127" s="19"/>
      <c r="Y127" s="19"/>
    </row>
    <row r="128" spans="1:25" x14ac:dyDescent="0.25">
      <c r="A128" s="130" t="s">
        <v>148</v>
      </c>
      <c r="B128" s="9"/>
      <c r="C128" s="9" t="s">
        <v>149</v>
      </c>
      <c r="D128" s="9"/>
      <c r="E128" s="9">
        <v>16300473658</v>
      </c>
      <c r="F128" s="57"/>
      <c r="G128" s="116">
        <f>40550*4</f>
        <v>162200</v>
      </c>
      <c r="H128" s="121"/>
      <c r="I128" s="121"/>
      <c r="J128" s="122"/>
      <c r="K128" s="116">
        <v>81108</v>
      </c>
      <c r="L128" s="122"/>
      <c r="M128" s="79">
        <v>40550</v>
      </c>
      <c r="N128" s="79">
        <v>40550</v>
      </c>
      <c r="O128" s="79">
        <v>40550</v>
      </c>
      <c r="P128" s="79">
        <v>40550</v>
      </c>
      <c r="Q128" s="67"/>
      <c r="R128" s="68"/>
      <c r="S128" s="44"/>
      <c r="T128" s="39"/>
      <c r="U128" s="19"/>
      <c r="V128" s="19"/>
      <c r="W128" s="19"/>
      <c r="X128" s="19"/>
      <c r="Y128" s="19"/>
    </row>
    <row r="129" spans="1:25" x14ac:dyDescent="0.25">
      <c r="A129" s="130"/>
      <c r="B129" s="9"/>
      <c r="C129" s="9" t="s">
        <v>150</v>
      </c>
      <c r="D129" s="9"/>
      <c r="E129" s="9">
        <v>16300473649</v>
      </c>
      <c r="F129" s="57"/>
      <c r="G129" s="116">
        <f>91000*4</f>
        <v>364000</v>
      </c>
      <c r="H129" s="117"/>
      <c r="I129" s="117"/>
      <c r="J129" s="118"/>
      <c r="K129" s="79">
        <v>79000</v>
      </c>
      <c r="L129" s="79">
        <v>79000</v>
      </c>
      <c r="M129" s="79">
        <v>79000</v>
      </c>
      <c r="N129" s="79">
        <v>79000</v>
      </c>
      <c r="O129" s="79">
        <v>79000</v>
      </c>
      <c r="P129" s="79">
        <v>79000</v>
      </c>
      <c r="Q129" s="67"/>
      <c r="R129" s="68"/>
      <c r="S129" s="44"/>
      <c r="T129" s="39"/>
      <c r="U129" s="19"/>
      <c r="V129" s="19"/>
      <c r="W129" s="19"/>
      <c r="X129" s="19"/>
      <c r="Y129" s="19"/>
    </row>
    <row r="130" spans="1:25" x14ac:dyDescent="0.25">
      <c r="A130" s="130"/>
      <c r="B130" s="9"/>
      <c r="C130" s="9" t="s">
        <v>151</v>
      </c>
      <c r="D130" s="9"/>
      <c r="E130" s="9">
        <v>16300474253</v>
      </c>
      <c r="F130" s="57"/>
      <c r="G130" s="116">
        <f>37620*4</f>
        <v>150480</v>
      </c>
      <c r="H130" s="121"/>
      <c r="I130" s="121"/>
      <c r="J130" s="122"/>
      <c r="K130" s="79">
        <v>37620</v>
      </c>
      <c r="L130" s="79">
        <v>37620</v>
      </c>
      <c r="M130" s="79">
        <v>37620</v>
      </c>
      <c r="N130" s="79">
        <v>37620</v>
      </c>
      <c r="O130" s="79">
        <v>37620</v>
      </c>
      <c r="P130" s="79">
        <v>37620</v>
      </c>
      <c r="Q130" s="67"/>
      <c r="R130" s="68"/>
      <c r="S130" s="44"/>
      <c r="T130" s="39"/>
      <c r="U130" s="19"/>
      <c r="V130" s="19"/>
      <c r="W130" s="19"/>
      <c r="X130" s="19"/>
      <c r="Y130" s="19"/>
    </row>
    <row r="131" spans="1:25" x14ac:dyDescent="0.25">
      <c r="A131" s="130"/>
      <c r="B131" s="9"/>
      <c r="C131" s="9" t="s">
        <v>152</v>
      </c>
      <c r="D131" s="9"/>
      <c r="E131" s="9">
        <v>16300474554</v>
      </c>
      <c r="F131" s="57"/>
      <c r="G131" s="116">
        <f>33590*4</f>
        <v>134360</v>
      </c>
      <c r="H131" s="121"/>
      <c r="I131" s="121"/>
      <c r="J131" s="122"/>
      <c r="K131" s="79">
        <v>33590</v>
      </c>
      <c r="L131" s="79">
        <v>33590</v>
      </c>
      <c r="M131" s="79">
        <v>33590</v>
      </c>
      <c r="N131" s="79">
        <v>33590</v>
      </c>
      <c r="O131" s="79">
        <v>33590</v>
      </c>
      <c r="P131" s="79">
        <v>33590</v>
      </c>
      <c r="Q131" s="67"/>
      <c r="R131" s="68"/>
      <c r="S131" s="44"/>
      <c r="T131" s="39"/>
      <c r="U131" s="19"/>
      <c r="V131" s="19"/>
      <c r="W131" s="19"/>
      <c r="X131" s="19"/>
      <c r="Y131" s="19"/>
    </row>
    <row r="132" spans="1:25" x14ac:dyDescent="0.25">
      <c r="A132" s="11" t="s">
        <v>153</v>
      </c>
      <c r="B132" s="9"/>
      <c r="C132" s="9">
        <v>72</v>
      </c>
      <c r="D132" s="9"/>
      <c r="E132" s="9" t="s">
        <v>77</v>
      </c>
      <c r="F132" s="57" t="s">
        <v>747</v>
      </c>
      <c r="G132" s="79">
        <v>18600</v>
      </c>
      <c r="H132" s="79">
        <v>18600</v>
      </c>
      <c r="I132" s="79">
        <v>18600</v>
      </c>
      <c r="J132" s="79">
        <v>18600</v>
      </c>
      <c r="K132" s="79">
        <v>18600</v>
      </c>
      <c r="L132" s="79">
        <v>18600</v>
      </c>
      <c r="M132" s="79">
        <v>18600</v>
      </c>
      <c r="N132" s="79">
        <v>18600</v>
      </c>
      <c r="O132" s="79">
        <v>18600</v>
      </c>
      <c r="P132" s="79">
        <v>18600</v>
      </c>
      <c r="Q132" s="67"/>
      <c r="R132" s="68"/>
      <c r="S132" s="44"/>
      <c r="T132" s="54">
        <f>262.5*12</f>
        <v>3150</v>
      </c>
      <c r="U132" s="18">
        <f>412.5*12</f>
        <v>4950</v>
      </c>
      <c r="V132" s="18">
        <f>412.5*12</f>
        <v>4950</v>
      </c>
      <c r="W132" s="18">
        <f>1000*12</f>
        <v>12000</v>
      </c>
      <c r="X132" s="18">
        <f>1989*6</f>
        <v>11934</v>
      </c>
      <c r="Y132" s="18">
        <f>8989*6</f>
        <v>53934</v>
      </c>
    </row>
    <row r="133" spans="1:25" x14ac:dyDescent="0.25">
      <c r="A133" s="11" t="s">
        <v>699</v>
      </c>
      <c r="B133" s="32">
        <v>29604353</v>
      </c>
      <c r="C133" s="9">
        <v>51</v>
      </c>
      <c r="D133" s="9"/>
      <c r="E133" s="9">
        <v>16300509728</v>
      </c>
      <c r="F133" s="57"/>
      <c r="G133" s="78">
        <v>18600</v>
      </c>
      <c r="H133" s="78">
        <v>18600</v>
      </c>
      <c r="I133" s="78">
        <v>18600</v>
      </c>
      <c r="J133" s="78">
        <v>18600</v>
      </c>
      <c r="K133" s="79">
        <v>18600</v>
      </c>
      <c r="L133" s="79">
        <v>18600</v>
      </c>
      <c r="M133" s="79">
        <v>18600</v>
      </c>
      <c r="N133" s="79">
        <v>18600</v>
      </c>
      <c r="O133" s="79">
        <v>18600</v>
      </c>
      <c r="P133" s="79">
        <v>18600</v>
      </c>
      <c r="Q133" s="67"/>
      <c r="R133" s="68"/>
      <c r="S133" s="44"/>
      <c r="T133" s="39"/>
      <c r="U133" s="19"/>
      <c r="V133" s="19"/>
      <c r="W133" s="19"/>
      <c r="X133" s="19"/>
      <c r="Y133" s="19"/>
    </row>
    <row r="134" spans="1:25" x14ac:dyDescent="0.25">
      <c r="A134" s="11" t="s">
        <v>154</v>
      </c>
      <c r="B134" s="32">
        <v>13003848</v>
      </c>
      <c r="C134" s="9">
        <v>14</v>
      </c>
      <c r="D134" s="9"/>
      <c r="E134" s="9">
        <v>16300471395</v>
      </c>
      <c r="F134" s="57"/>
      <c r="G134" s="78">
        <v>24730</v>
      </c>
      <c r="H134" s="116">
        <v>49460</v>
      </c>
      <c r="I134" s="122"/>
      <c r="J134" s="78">
        <v>24730</v>
      </c>
      <c r="K134" s="79">
        <v>24730</v>
      </c>
      <c r="L134" s="79">
        <v>24730</v>
      </c>
      <c r="M134" s="79">
        <v>24730</v>
      </c>
      <c r="N134" s="79">
        <v>24730</v>
      </c>
      <c r="O134" s="79">
        <v>24730</v>
      </c>
      <c r="P134" s="79">
        <v>24730</v>
      </c>
      <c r="Q134" s="67"/>
      <c r="R134" s="68"/>
      <c r="S134" s="44"/>
      <c r="T134" s="39"/>
      <c r="U134" s="19"/>
      <c r="V134" s="19"/>
      <c r="W134" s="19"/>
      <c r="X134" s="19"/>
      <c r="Y134" s="19"/>
    </row>
    <row r="135" spans="1:25" x14ac:dyDescent="0.25">
      <c r="A135" s="11" t="s">
        <v>700</v>
      </c>
      <c r="B135" s="32" t="s">
        <v>701</v>
      </c>
      <c r="C135" s="9">
        <v>9</v>
      </c>
      <c r="D135" s="9" t="s">
        <v>13</v>
      </c>
      <c r="E135" s="9" t="s">
        <v>77</v>
      </c>
      <c r="F135" s="57"/>
      <c r="G135" s="79">
        <v>18600</v>
      </c>
      <c r="H135" s="79">
        <v>18600</v>
      </c>
      <c r="I135" s="79">
        <v>18600</v>
      </c>
      <c r="J135" s="79">
        <v>18600</v>
      </c>
      <c r="K135" s="79">
        <v>18600</v>
      </c>
      <c r="L135" s="79">
        <v>18600</v>
      </c>
      <c r="M135" s="79">
        <v>18600</v>
      </c>
      <c r="N135" s="79">
        <v>18600</v>
      </c>
      <c r="O135" s="79">
        <v>18600</v>
      </c>
      <c r="P135" s="79">
        <v>18600</v>
      </c>
      <c r="Q135" s="67"/>
      <c r="R135" s="68"/>
      <c r="S135" s="44"/>
      <c r="T135" s="39"/>
      <c r="U135" s="19"/>
      <c r="V135" s="19"/>
      <c r="W135" s="19"/>
      <c r="X135" s="18">
        <f>1989*6</f>
        <v>11934</v>
      </c>
      <c r="Y135" s="18">
        <f>8989*6</f>
        <v>53934</v>
      </c>
    </row>
    <row r="136" spans="1:25" x14ac:dyDescent="0.25">
      <c r="A136" s="11" t="s">
        <v>702</v>
      </c>
      <c r="B136" s="32">
        <v>32401104</v>
      </c>
      <c r="C136" s="9">
        <v>11</v>
      </c>
      <c r="D136" s="9" t="s">
        <v>5</v>
      </c>
      <c r="E136" s="9" t="s">
        <v>77</v>
      </c>
      <c r="F136" s="57"/>
      <c r="G136" s="79">
        <v>18600</v>
      </c>
      <c r="H136" s="79">
        <v>18600</v>
      </c>
      <c r="I136" s="79">
        <v>18600</v>
      </c>
      <c r="J136" s="79">
        <v>18600</v>
      </c>
      <c r="K136" s="79">
        <v>18600</v>
      </c>
      <c r="L136" s="79">
        <v>18600</v>
      </c>
      <c r="M136" s="79">
        <v>18600</v>
      </c>
      <c r="N136" s="79">
        <v>18600</v>
      </c>
      <c r="O136" s="79">
        <v>18600</v>
      </c>
      <c r="P136" s="79">
        <v>18600</v>
      </c>
      <c r="Q136" s="67"/>
      <c r="R136" s="68"/>
      <c r="S136" s="44"/>
      <c r="T136" s="54">
        <f>262.5*12</f>
        <v>3150</v>
      </c>
      <c r="U136" s="18">
        <f>412.5*12</f>
        <v>4950</v>
      </c>
      <c r="V136" s="18">
        <f>412.5*12</f>
        <v>4950</v>
      </c>
      <c r="W136" s="18">
        <f>1000*12</f>
        <v>12000</v>
      </c>
      <c r="X136" s="18">
        <f>1989*6</f>
        <v>11934</v>
      </c>
      <c r="Y136" s="18">
        <f>8989*6</f>
        <v>53934</v>
      </c>
    </row>
    <row r="137" spans="1:25" x14ac:dyDescent="0.25">
      <c r="A137" s="11" t="s">
        <v>155</v>
      </c>
      <c r="B137" s="9"/>
      <c r="C137" s="9">
        <v>13</v>
      </c>
      <c r="D137" s="9"/>
      <c r="E137" s="9"/>
      <c r="F137" s="5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8"/>
      <c r="S137" s="44"/>
      <c r="T137" s="39"/>
      <c r="U137" s="19"/>
      <c r="V137" s="19"/>
      <c r="W137" s="19"/>
      <c r="X137" s="19"/>
      <c r="Y137" s="19"/>
    </row>
    <row r="138" spans="1:25" x14ac:dyDescent="0.25">
      <c r="A138" s="11" t="s">
        <v>704</v>
      </c>
      <c r="B138" s="9" t="s">
        <v>703</v>
      </c>
      <c r="C138" s="9">
        <v>52</v>
      </c>
      <c r="D138" s="9"/>
      <c r="E138" s="9">
        <v>16300509640</v>
      </c>
      <c r="F138" s="57"/>
      <c r="G138" s="116">
        <v>134821.79999999999</v>
      </c>
      <c r="H138" s="121"/>
      <c r="I138" s="121"/>
      <c r="J138" s="121"/>
      <c r="K138" s="121"/>
      <c r="L138" s="122"/>
      <c r="M138" s="79">
        <v>24967</v>
      </c>
      <c r="N138" s="79">
        <v>24967</v>
      </c>
      <c r="O138" s="79">
        <v>24967</v>
      </c>
      <c r="P138" s="79">
        <v>24967</v>
      </c>
      <c r="Q138" s="67"/>
      <c r="R138" s="68"/>
      <c r="S138" s="44"/>
      <c r="T138" s="39"/>
      <c r="U138" s="19"/>
      <c r="V138" s="19"/>
      <c r="W138" s="19"/>
      <c r="X138" s="19"/>
      <c r="Y138" s="19"/>
    </row>
    <row r="139" spans="1:25" x14ac:dyDescent="0.25">
      <c r="A139" s="11" t="s">
        <v>705</v>
      </c>
      <c r="B139" s="32">
        <v>13834688</v>
      </c>
      <c r="C139" s="9">
        <v>60</v>
      </c>
      <c r="D139" s="9"/>
      <c r="E139" s="9">
        <v>16300508657</v>
      </c>
      <c r="F139" s="57"/>
      <c r="G139" s="116">
        <v>238000</v>
      </c>
      <c r="H139" s="117"/>
      <c r="I139" s="117"/>
      <c r="J139" s="117"/>
      <c r="K139" s="117"/>
      <c r="L139" s="117"/>
      <c r="M139" s="117"/>
      <c r="N139" s="117"/>
      <c r="O139" s="117"/>
      <c r="P139" s="118"/>
      <c r="Q139" s="67"/>
      <c r="R139" s="68"/>
      <c r="S139" s="44"/>
      <c r="T139" s="39"/>
      <c r="U139" s="19"/>
      <c r="V139" s="19"/>
      <c r="W139" s="19"/>
      <c r="X139" s="19"/>
      <c r="Y139" s="19"/>
    </row>
    <row r="140" spans="1:25" x14ac:dyDescent="0.25">
      <c r="A140" s="130" t="s">
        <v>706</v>
      </c>
      <c r="B140" s="151">
        <v>4930841</v>
      </c>
      <c r="C140" s="9">
        <v>12</v>
      </c>
      <c r="D140" s="9"/>
      <c r="E140" s="9">
        <v>16300465579</v>
      </c>
      <c r="F140" s="57"/>
      <c r="G140" s="169">
        <v>439848</v>
      </c>
      <c r="H140" s="170"/>
      <c r="I140" s="170"/>
      <c r="J140" s="170"/>
      <c r="K140" s="170"/>
      <c r="L140" s="171"/>
      <c r="M140" s="116">
        <v>177800</v>
      </c>
      <c r="N140" s="121"/>
      <c r="O140" s="121"/>
      <c r="P140" s="121"/>
      <c r="Q140" s="121"/>
      <c r="R140" s="123"/>
      <c r="S140" s="44"/>
      <c r="T140" s="39"/>
      <c r="U140" s="19"/>
      <c r="V140" s="19"/>
      <c r="W140" s="19"/>
      <c r="X140" s="19"/>
      <c r="Y140" s="19"/>
    </row>
    <row r="141" spans="1:25" x14ac:dyDescent="0.25">
      <c r="A141" s="130"/>
      <c r="B141" s="152"/>
      <c r="C141" s="9">
        <v>11</v>
      </c>
      <c r="D141" s="9"/>
      <c r="E141" s="9">
        <v>16300465583</v>
      </c>
      <c r="F141" s="57"/>
      <c r="G141" s="172"/>
      <c r="H141" s="173"/>
      <c r="I141" s="173"/>
      <c r="J141" s="173"/>
      <c r="K141" s="173"/>
      <c r="L141" s="174"/>
      <c r="M141" s="116">
        <v>80760</v>
      </c>
      <c r="N141" s="122"/>
      <c r="O141" s="79">
        <v>40380</v>
      </c>
      <c r="P141" s="79">
        <v>40380</v>
      </c>
      <c r="Q141" s="67"/>
      <c r="R141" s="68"/>
      <c r="S141" s="44"/>
      <c r="T141" s="39"/>
      <c r="U141" s="19"/>
      <c r="V141" s="19"/>
      <c r="W141" s="19"/>
      <c r="X141" s="19"/>
      <c r="Y141" s="19"/>
    </row>
    <row r="142" spans="1:25" x14ac:dyDescent="0.25">
      <c r="A142" s="11" t="s">
        <v>707</v>
      </c>
      <c r="B142" s="32">
        <v>7687309</v>
      </c>
      <c r="C142" s="9" t="s">
        <v>145</v>
      </c>
      <c r="D142" s="9"/>
      <c r="E142" s="9">
        <v>16300465775</v>
      </c>
      <c r="F142" s="57"/>
      <c r="G142" s="116">
        <v>152820</v>
      </c>
      <c r="H142" s="121"/>
      <c r="I142" s="121"/>
      <c r="J142" s="121"/>
      <c r="K142" s="121"/>
      <c r="L142" s="122"/>
      <c r="M142" s="79">
        <v>28300</v>
      </c>
      <c r="N142" s="79">
        <v>28300</v>
      </c>
      <c r="O142" s="79">
        <v>28300</v>
      </c>
      <c r="P142" s="79">
        <v>28300</v>
      </c>
      <c r="Q142" s="67"/>
      <c r="R142" s="68"/>
      <c r="S142" s="44"/>
      <c r="T142" s="39"/>
      <c r="U142" s="19"/>
      <c r="V142" s="19"/>
      <c r="W142" s="19"/>
      <c r="X142" s="19"/>
      <c r="Y142" s="19"/>
    </row>
    <row r="143" spans="1:25" x14ac:dyDescent="0.25">
      <c r="A143" s="11" t="s">
        <v>708</v>
      </c>
      <c r="B143" s="32">
        <v>23082695</v>
      </c>
      <c r="C143" s="9" t="s">
        <v>156</v>
      </c>
      <c r="D143" s="9"/>
      <c r="E143" s="9">
        <v>16300470840</v>
      </c>
      <c r="F143" s="57"/>
      <c r="G143" s="116">
        <v>250352</v>
      </c>
      <c r="H143" s="121"/>
      <c r="I143" s="121"/>
      <c r="J143" s="122"/>
      <c r="K143" s="79">
        <v>62588</v>
      </c>
      <c r="L143" s="79">
        <v>62588</v>
      </c>
      <c r="M143" s="79">
        <v>62588</v>
      </c>
      <c r="N143" s="79">
        <v>62588</v>
      </c>
      <c r="O143" s="79">
        <v>62588</v>
      </c>
      <c r="P143" s="79">
        <v>62588</v>
      </c>
      <c r="Q143" s="67"/>
      <c r="R143" s="68"/>
      <c r="S143" s="44"/>
      <c r="T143" s="39"/>
      <c r="U143" s="19"/>
      <c r="V143" s="19"/>
      <c r="W143" s="19"/>
      <c r="X143" s="19"/>
      <c r="Y143" s="19"/>
    </row>
    <row r="144" spans="1:25" x14ac:dyDescent="0.25">
      <c r="A144" s="11" t="s">
        <v>157</v>
      </c>
      <c r="B144" s="9"/>
      <c r="C144" s="9">
        <v>28</v>
      </c>
      <c r="D144" s="9"/>
      <c r="E144" s="9">
        <v>16300458580</v>
      </c>
      <c r="F144" s="57"/>
      <c r="G144" s="78">
        <v>243633</v>
      </c>
      <c r="H144" s="78">
        <v>243633</v>
      </c>
      <c r="I144" s="78">
        <v>243633</v>
      </c>
      <c r="J144" s="116">
        <v>730899</v>
      </c>
      <c r="K144" s="121"/>
      <c r="L144" s="122"/>
      <c r="M144" s="116">
        <v>730899</v>
      </c>
      <c r="N144" s="121"/>
      <c r="O144" s="122"/>
      <c r="P144" s="79">
        <v>243633</v>
      </c>
      <c r="Q144" s="67"/>
      <c r="R144" s="68"/>
      <c r="S144" s="44"/>
      <c r="T144" s="39"/>
      <c r="U144" s="19"/>
      <c r="V144" s="19"/>
      <c r="W144" s="19"/>
      <c r="X144" s="19"/>
      <c r="Y144" s="19"/>
    </row>
    <row r="145" spans="1:25" x14ac:dyDescent="0.25">
      <c r="A145" s="11" t="s">
        <v>158</v>
      </c>
      <c r="B145" s="32">
        <v>22721948</v>
      </c>
      <c r="C145" s="9">
        <v>13</v>
      </c>
      <c r="D145" s="9" t="s">
        <v>13</v>
      </c>
      <c r="E145" s="9" t="s">
        <v>77</v>
      </c>
      <c r="F145" s="57"/>
      <c r="G145" s="116">
        <v>74400</v>
      </c>
      <c r="H145" s="117"/>
      <c r="I145" s="117"/>
      <c r="J145" s="118"/>
      <c r="K145" s="78">
        <v>18600</v>
      </c>
      <c r="L145" s="79">
        <v>18600</v>
      </c>
      <c r="M145" s="79">
        <v>18600</v>
      </c>
      <c r="N145" s="79">
        <v>18600</v>
      </c>
      <c r="O145" s="79">
        <v>18600</v>
      </c>
      <c r="P145" s="79">
        <v>18600</v>
      </c>
      <c r="Q145" s="67"/>
      <c r="R145" s="68"/>
      <c r="S145" s="44"/>
      <c r="T145" s="39"/>
      <c r="U145" s="19"/>
      <c r="V145" s="19"/>
      <c r="W145" s="19"/>
      <c r="X145" s="19"/>
      <c r="Y145" s="19"/>
    </row>
    <row r="146" spans="1:25" x14ac:dyDescent="0.25">
      <c r="A146" s="11" t="s">
        <v>710</v>
      </c>
      <c r="B146" s="9" t="s">
        <v>709</v>
      </c>
      <c r="C146" s="9">
        <v>18</v>
      </c>
      <c r="D146" s="9" t="s">
        <v>13</v>
      </c>
      <c r="E146" s="9" t="s">
        <v>77</v>
      </c>
      <c r="F146" s="57"/>
      <c r="G146" s="116">
        <v>72000</v>
      </c>
      <c r="H146" s="121"/>
      <c r="I146" s="121"/>
      <c r="J146" s="121"/>
      <c r="K146" s="121"/>
      <c r="L146" s="122"/>
      <c r="M146" s="78">
        <v>18600</v>
      </c>
      <c r="N146" s="79">
        <v>18600</v>
      </c>
      <c r="O146" s="79">
        <v>18600</v>
      </c>
      <c r="P146" s="79">
        <v>18600</v>
      </c>
      <c r="Q146" s="67"/>
      <c r="R146" s="68"/>
      <c r="S146" s="44"/>
      <c r="T146" s="39"/>
      <c r="U146" s="19"/>
      <c r="V146" s="19"/>
      <c r="W146" s="19"/>
      <c r="X146" s="19"/>
      <c r="Y146" s="19"/>
    </row>
    <row r="147" spans="1:25" x14ac:dyDescent="0.25">
      <c r="A147" s="11" t="s">
        <v>159</v>
      </c>
      <c r="B147" s="32">
        <v>11581385</v>
      </c>
      <c r="C147" s="9">
        <v>37</v>
      </c>
      <c r="D147" s="9"/>
      <c r="E147" s="9">
        <v>16300470442</v>
      </c>
      <c r="F147" s="57"/>
      <c r="G147" s="79">
        <v>36800</v>
      </c>
      <c r="H147" s="79">
        <v>36800</v>
      </c>
      <c r="I147" s="79">
        <v>36800</v>
      </c>
      <c r="J147" s="79">
        <v>36800</v>
      </c>
      <c r="K147" s="79">
        <v>36800</v>
      </c>
      <c r="L147" s="79">
        <v>36800</v>
      </c>
      <c r="M147" s="79">
        <v>36800</v>
      </c>
      <c r="N147" s="79">
        <v>36800</v>
      </c>
      <c r="O147" s="79">
        <v>36800</v>
      </c>
      <c r="P147" s="79">
        <v>36800</v>
      </c>
      <c r="Q147" s="85"/>
      <c r="R147" s="85"/>
      <c r="S147" s="84"/>
      <c r="T147" s="54"/>
      <c r="U147" s="18"/>
      <c r="V147" s="18"/>
      <c r="W147" s="18">
        <f>4317*12</f>
        <v>51804</v>
      </c>
      <c r="X147" s="18">
        <f>10980*6</f>
        <v>65880</v>
      </c>
      <c r="Y147" s="18">
        <f>19085*6</f>
        <v>114510</v>
      </c>
    </row>
    <row r="148" spans="1:25" x14ac:dyDescent="0.25">
      <c r="A148" s="11" t="s">
        <v>160</v>
      </c>
      <c r="B148" s="32">
        <v>34667655</v>
      </c>
      <c r="C148" s="9" t="s">
        <v>161</v>
      </c>
      <c r="D148" s="9"/>
      <c r="E148" s="9" t="s">
        <v>77</v>
      </c>
      <c r="F148" s="57"/>
      <c r="G148" s="79">
        <v>18600</v>
      </c>
      <c r="H148" s="79">
        <v>18600</v>
      </c>
      <c r="I148" s="79">
        <v>18600</v>
      </c>
      <c r="J148" s="79">
        <v>18600</v>
      </c>
      <c r="K148" s="79">
        <v>18600</v>
      </c>
      <c r="L148" s="79">
        <v>18600</v>
      </c>
      <c r="M148" s="79">
        <v>18600</v>
      </c>
      <c r="N148" s="79">
        <v>18600</v>
      </c>
      <c r="O148" s="79">
        <v>18600</v>
      </c>
      <c r="P148" s="79">
        <v>18600</v>
      </c>
      <c r="Q148" s="67"/>
      <c r="R148" s="68"/>
      <c r="S148" s="44"/>
      <c r="T148" s="54">
        <f>262.5*12</f>
        <v>3150</v>
      </c>
      <c r="U148" s="18">
        <f>412.5*12</f>
        <v>4950</v>
      </c>
      <c r="V148" s="18">
        <f>412.5*12</f>
        <v>4950</v>
      </c>
      <c r="W148" s="18">
        <f>1000*12</f>
        <v>12000</v>
      </c>
      <c r="X148" s="18">
        <f>1898*6</f>
        <v>11388</v>
      </c>
      <c r="Y148" s="18">
        <f>8989*6</f>
        <v>53934</v>
      </c>
    </row>
    <row r="149" spans="1:25" x14ac:dyDescent="0.25">
      <c r="A149" s="11" t="s">
        <v>162</v>
      </c>
      <c r="B149" s="32">
        <v>23400550</v>
      </c>
      <c r="C149" s="9">
        <v>44</v>
      </c>
      <c r="D149" s="9"/>
      <c r="E149" s="9">
        <v>16300470237</v>
      </c>
      <c r="F149" s="57"/>
      <c r="G149" s="116">
        <v>100440</v>
      </c>
      <c r="H149" s="121"/>
      <c r="I149" s="121"/>
      <c r="J149" s="121"/>
      <c r="K149" s="121"/>
      <c r="L149" s="122"/>
      <c r="M149" s="79">
        <v>18600</v>
      </c>
      <c r="N149" s="79">
        <v>18600</v>
      </c>
      <c r="O149" s="79">
        <v>18600</v>
      </c>
      <c r="P149" s="79">
        <v>18600</v>
      </c>
      <c r="Q149" s="67"/>
      <c r="R149" s="68"/>
      <c r="S149" s="44"/>
      <c r="T149" s="39"/>
      <c r="U149" s="19"/>
      <c r="V149" s="19"/>
      <c r="W149" s="19"/>
      <c r="X149" s="19"/>
      <c r="Y149" s="19"/>
    </row>
    <row r="150" spans="1:25" x14ac:dyDescent="0.25">
      <c r="A150" s="11" t="s">
        <v>163</v>
      </c>
      <c r="B150" s="32">
        <v>31031714</v>
      </c>
      <c r="C150" s="9">
        <v>14</v>
      </c>
      <c r="D150" s="9" t="s">
        <v>13</v>
      </c>
      <c r="E150" s="9" t="s">
        <v>77</v>
      </c>
      <c r="F150" s="57"/>
      <c r="G150" s="116">
        <v>130200</v>
      </c>
      <c r="H150" s="121"/>
      <c r="I150" s="121"/>
      <c r="J150" s="121"/>
      <c r="K150" s="121"/>
      <c r="L150" s="121"/>
      <c r="M150" s="122"/>
      <c r="N150" s="79">
        <v>18600</v>
      </c>
      <c r="O150" s="79">
        <v>18600</v>
      </c>
      <c r="P150" s="79">
        <v>18600</v>
      </c>
      <c r="Q150" s="67"/>
      <c r="R150" s="68"/>
      <c r="S150" s="44"/>
      <c r="T150" s="39"/>
      <c r="U150" s="19"/>
      <c r="V150" s="19"/>
      <c r="W150" s="19"/>
      <c r="X150" s="19"/>
      <c r="Y150" s="19"/>
    </row>
    <row r="151" spans="1:25" x14ac:dyDescent="0.25">
      <c r="A151" s="11" t="s">
        <v>164</v>
      </c>
      <c r="B151" s="32">
        <v>13028144</v>
      </c>
      <c r="C151" s="9">
        <v>39</v>
      </c>
      <c r="D151" s="9"/>
      <c r="E151" s="9">
        <v>16300470538</v>
      </c>
      <c r="F151" s="57"/>
      <c r="G151" s="79">
        <v>24320</v>
      </c>
      <c r="H151" s="79">
        <v>24320</v>
      </c>
      <c r="I151" s="79">
        <v>24320</v>
      </c>
      <c r="J151" s="79">
        <v>24320</v>
      </c>
      <c r="K151" s="79">
        <v>24320</v>
      </c>
      <c r="L151" s="79">
        <v>24320</v>
      </c>
      <c r="M151" s="79">
        <v>24320</v>
      </c>
      <c r="N151" s="79">
        <v>24320</v>
      </c>
      <c r="O151" s="79">
        <v>24320</v>
      </c>
      <c r="P151" s="79">
        <v>24320</v>
      </c>
      <c r="Q151" s="67"/>
      <c r="R151" s="68"/>
      <c r="S151" s="44"/>
      <c r="T151" s="39"/>
      <c r="U151" s="19"/>
      <c r="V151" s="19"/>
      <c r="W151" s="19"/>
      <c r="X151" s="19"/>
      <c r="Y151" s="19"/>
    </row>
    <row r="152" spans="1:25" x14ac:dyDescent="0.25">
      <c r="A152" s="11" t="s">
        <v>711</v>
      </c>
      <c r="B152" s="32">
        <v>14759797</v>
      </c>
      <c r="C152" s="9">
        <v>15</v>
      </c>
      <c r="D152" s="9"/>
      <c r="E152" s="9">
        <v>16300471094</v>
      </c>
      <c r="F152" s="57"/>
      <c r="G152" s="116">
        <v>130200</v>
      </c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3"/>
      <c r="S152" s="44"/>
      <c r="T152" s="39"/>
      <c r="U152" s="19"/>
      <c r="V152" s="19"/>
      <c r="W152" s="19"/>
      <c r="X152" s="19"/>
      <c r="Y152" s="19"/>
    </row>
    <row r="153" spans="1:25" x14ac:dyDescent="0.25">
      <c r="A153" s="11" t="s">
        <v>165</v>
      </c>
      <c r="B153" s="32">
        <v>10466405</v>
      </c>
      <c r="C153" s="9">
        <v>69</v>
      </c>
      <c r="D153" s="9"/>
      <c r="E153" s="9" t="s">
        <v>77</v>
      </c>
      <c r="F153" s="57"/>
      <c r="G153" s="78">
        <v>18600</v>
      </c>
      <c r="H153" s="78">
        <v>18600</v>
      </c>
      <c r="I153" s="78">
        <v>18600</v>
      </c>
      <c r="J153" s="78">
        <v>18600</v>
      </c>
      <c r="K153" s="78">
        <v>18600</v>
      </c>
      <c r="L153" s="78">
        <v>18600</v>
      </c>
      <c r="M153" s="78">
        <v>18600</v>
      </c>
      <c r="N153" s="78">
        <v>18600</v>
      </c>
      <c r="O153" s="78">
        <v>18600</v>
      </c>
      <c r="P153" s="79">
        <v>18600</v>
      </c>
      <c r="Q153" s="67"/>
      <c r="R153" s="68"/>
      <c r="S153" s="44"/>
      <c r="T153" s="39"/>
      <c r="U153" s="19"/>
      <c r="V153" s="19"/>
      <c r="W153" s="19"/>
      <c r="X153" s="19"/>
      <c r="Y153" s="19"/>
    </row>
    <row r="154" spans="1:25" x14ac:dyDescent="0.25">
      <c r="A154" s="11" t="s">
        <v>166</v>
      </c>
      <c r="B154" s="32">
        <v>13003810</v>
      </c>
      <c r="C154" s="9">
        <v>71</v>
      </c>
      <c r="D154" s="9"/>
      <c r="E154" s="9" t="s">
        <v>77</v>
      </c>
      <c r="F154" s="57"/>
      <c r="G154" s="78">
        <v>18600</v>
      </c>
      <c r="H154" s="78">
        <v>18600</v>
      </c>
      <c r="I154" s="78">
        <v>18600</v>
      </c>
      <c r="J154" s="78">
        <v>18600</v>
      </c>
      <c r="K154" s="78">
        <v>18600</v>
      </c>
      <c r="L154" s="78">
        <v>18600</v>
      </c>
      <c r="M154" s="78">
        <v>18600</v>
      </c>
      <c r="N154" s="78">
        <v>18600</v>
      </c>
      <c r="O154" s="78">
        <v>18600</v>
      </c>
      <c r="P154" s="79">
        <v>18600</v>
      </c>
      <c r="Q154" s="67"/>
      <c r="R154" s="68"/>
      <c r="S154" s="44"/>
      <c r="T154" s="39"/>
      <c r="U154" s="19"/>
      <c r="V154" s="19"/>
      <c r="W154" s="19"/>
      <c r="X154" s="19"/>
      <c r="Y154" s="19"/>
    </row>
    <row r="155" spans="1:25" x14ac:dyDescent="0.25">
      <c r="A155" s="11" t="s">
        <v>712</v>
      </c>
      <c r="B155" s="32">
        <v>13812080</v>
      </c>
      <c r="C155" s="9">
        <v>8</v>
      </c>
      <c r="D155" s="9"/>
      <c r="E155" s="9">
        <v>16300482209</v>
      </c>
      <c r="F155" s="57"/>
      <c r="G155" s="79">
        <v>26870</v>
      </c>
      <c r="H155" s="79">
        <v>26870</v>
      </c>
      <c r="I155" s="79">
        <v>26870</v>
      </c>
      <c r="J155" s="79">
        <v>26870</v>
      </c>
      <c r="K155" s="79">
        <v>26870</v>
      </c>
      <c r="L155" s="79">
        <v>26870</v>
      </c>
      <c r="M155" s="79">
        <v>26870</v>
      </c>
      <c r="N155" s="79">
        <v>26870</v>
      </c>
      <c r="O155" s="79">
        <v>26870</v>
      </c>
      <c r="P155" s="79">
        <v>26870</v>
      </c>
      <c r="Q155" s="67"/>
      <c r="R155" s="68"/>
      <c r="S155" s="44"/>
      <c r="T155" s="39"/>
      <c r="U155" s="19"/>
      <c r="V155" s="19"/>
      <c r="W155" s="19"/>
      <c r="X155" s="19"/>
      <c r="Y155" s="19"/>
    </row>
    <row r="156" spans="1:25" x14ac:dyDescent="0.25">
      <c r="A156" s="11" t="s">
        <v>713</v>
      </c>
      <c r="B156" s="32">
        <v>24323019</v>
      </c>
      <c r="C156" s="9">
        <v>53</v>
      </c>
      <c r="D156" s="9"/>
      <c r="E156" s="9">
        <v>16300509543</v>
      </c>
      <c r="F156" s="57"/>
      <c r="G156" s="79">
        <v>24790</v>
      </c>
      <c r="H156" s="79">
        <v>24790</v>
      </c>
      <c r="I156" s="79">
        <v>24790</v>
      </c>
      <c r="J156" s="79">
        <v>24790</v>
      </c>
      <c r="K156" s="79">
        <v>24790</v>
      </c>
      <c r="L156" s="79">
        <v>24790</v>
      </c>
      <c r="M156" s="79">
        <v>24790</v>
      </c>
      <c r="N156" s="79">
        <v>24790</v>
      </c>
      <c r="O156" s="79">
        <v>24790</v>
      </c>
      <c r="P156" s="79">
        <v>24790</v>
      </c>
      <c r="Q156" s="67"/>
      <c r="R156" s="68"/>
      <c r="S156" s="44"/>
      <c r="T156" s="39"/>
      <c r="U156" s="19"/>
      <c r="V156" s="19"/>
      <c r="W156" s="19"/>
      <c r="X156" s="19"/>
      <c r="Y156" s="19"/>
    </row>
    <row r="157" spans="1:25" x14ac:dyDescent="0.25">
      <c r="A157" s="11" t="s">
        <v>714</v>
      </c>
      <c r="B157" s="32">
        <v>20689371</v>
      </c>
      <c r="C157" s="9">
        <v>5</v>
      </c>
      <c r="D157" s="9"/>
      <c r="E157" s="9">
        <v>16300447291</v>
      </c>
      <c r="F157" s="57"/>
      <c r="G157" s="79">
        <v>30020</v>
      </c>
      <c r="H157" s="79">
        <v>30020</v>
      </c>
      <c r="I157" s="79">
        <v>30020</v>
      </c>
      <c r="J157" s="79">
        <v>30020</v>
      </c>
      <c r="K157" s="79">
        <v>30020</v>
      </c>
      <c r="L157" s="79">
        <v>30020</v>
      </c>
      <c r="M157" s="79">
        <v>30020</v>
      </c>
      <c r="N157" s="79">
        <v>30020</v>
      </c>
      <c r="O157" s="79">
        <v>30020</v>
      </c>
      <c r="P157" s="79">
        <v>30020</v>
      </c>
      <c r="Q157" s="67"/>
      <c r="R157" s="68"/>
      <c r="S157" s="44"/>
      <c r="T157" s="54"/>
      <c r="U157" s="18"/>
      <c r="V157" s="18"/>
      <c r="W157" s="18">
        <f>1735*12</f>
        <v>20820</v>
      </c>
      <c r="X157" s="18">
        <f>7853*6</f>
        <v>47118</v>
      </c>
      <c r="Y157" s="18">
        <f>15100*6</f>
        <v>90600</v>
      </c>
    </row>
    <row r="158" spans="1:25" x14ac:dyDescent="0.25">
      <c r="A158" s="11" t="s">
        <v>715</v>
      </c>
      <c r="B158" s="32">
        <v>23001716</v>
      </c>
      <c r="C158" s="9">
        <v>50</v>
      </c>
      <c r="D158" s="9"/>
      <c r="E158" s="9">
        <v>16300509835</v>
      </c>
      <c r="F158" s="57"/>
      <c r="G158" s="79">
        <v>41690</v>
      </c>
      <c r="H158" s="79">
        <v>41690</v>
      </c>
      <c r="I158" s="79">
        <v>41690</v>
      </c>
      <c r="J158" s="79">
        <v>41690</v>
      </c>
      <c r="K158" s="79">
        <v>41690</v>
      </c>
      <c r="L158" s="79">
        <v>41690</v>
      </c>
      <c r="M158" s="79">
        <v>41690</v>
      </c>
      <c r="N158" s="79">
        <v>41690</v>
      </c>
      <c r="O158" s="79">
        <v>41690</v>
      </c>
      <c r="P158" s="79">
        <v>41690</v>
      </c>
      <c r="Q158" s="67"/>
      <c r="R158" s="68"/>
      <c r="S158" s="44"/>
      <c r="T158" s="39"/>
      <c r="U158" s="19"/>
      <c r="V158" s="19"/>
      <c r="W158" s="19"/>
      <c r="X158" s="19"/>
      <c r="Y158" s="19"/>
    </row>
    <row r="159" spans="1:25" x14ac:dyDescent="0.25">
      <c r="A159" s="11" t="s">
        <v>716</v>
      </c>
      <c r="B159" s="32">
        <v>23997719</v>
      </c>
      <c r="C159" s="9">
        <v>63</v>
      </c>
      <c r="D159" s="9"/>
      <c r="E159" s="9" t="s">
        <v>77</v>
      </c>
      <c r="F159" s="57"/>
      <c r="G159" s="79">
        <v>18600</v>
      </c>
      <c r="H159" s="79">
        <v>18600</v>
      </c>
      <c r="I159" s="79">
        <v>18600</v>
      </c>
      <c r="J159" s="79">
        <v>18600</v>
      </c>
      <c r="K159" s="79">
        <v>18600</v>
      </c>
      <c r="L159" s="79">
        <v>18600</v>
      </c>
      <c r="M159" s="79">
        <v>18600</v>
      </c>
      <c r="N159" s="79">
        <v>18600</v>
      </c>
      <c r="O159" s="79">
        <v>18600</v>
      </c>
      <c r="P159" s="79">
        <v>18600</v>
      </c>
      <c r="Q159" s="67"/>
      <c r="R159" s="68"/>
      <c r="S159" s="44"/>
      <c r="T159" s="54">
        <f>262.5*12</f>
        <v>3150</v>
      </c>
      <c r="U159" s="18">
        <f>412.5*12</f>
        <v>4950</v>
      </c>
      <c r="V159" s="18">
        <f>412.5*12</f>
        <v>4950</v>
      </c>
      <c r="W159" s="18">
        <f>1000*12</f>
        <v>12000</v>
      </c>
      <c r="X159" s="18">
        <f>1989*6</f>
        <v>11934</v>
      </c>
      <c r="Y159" s="18">
        <f>8989*6</f>
        <v>53934</v>
      </c>
    </row>
    <row r="160" spans="1:25" x14ac:dyDescent="0.25">
      <c r="A160" s="130" t="s">
        <v>167</v>
      </c>
      <c r="B160" s="9"/>
      <c r="C160" s="9" t="s">
        <v>168</v>
      </c>
      <c r="D160" s="9"/>
      <c r="E160" s="9">
        <v>16300456008</v>
      </c>
      <c r="F160" s="57"/>
      <c r="G160" s="116">
        <v>402493</v>
      </c>
      <c r="H160" s="121"/>
      <c r="I160" s="121"/>
      <c r="J160" s="121"/>
      <c r="K160" s="121"/>
      <c r="L160" s="121"/>
      <c r="M160" s="122"/>
      <c r="N160" s="79">
        <v>57400</v>
      </c>
      <c r="O160" s="79">
        <v>57400</v>
      </c>
      <c r="P160" s="79">
        <v>57400</v>
      </c>
      <c r="Q160" s="67"/>
      <c r="R160" s="68"/>
      <c r="S160" s="44"/>
      <c r="T160" s="39"/>
      <c r="U160" s="19"/>
      <c r="V160" s="19"/>
      <c r="W160" s="19"/>
      <c r="X160" s="19"/>
      <c r="Y160" s="19"/>
    </row>
    <row r="161" spans="1:25" x14ac:dyDescent="0.25">
      <c r="A161" s="130"/>
      <c r="B161" s="9"/>
      <c r="C161" s="9">
        <v>6</v>
      </c>
      <c r="D161" s="9"/>
      <c r="E161" s="9">
        <v>16300447196</v>
      </c>
      <c r="F161" s="57"/>
      <c r="G161" s="116">
        <v>39210</v>
      </c>
      <c r="H161" s="121"/>
      <c r="I161" s="122"/>
      <c r="J161" s="116">
        <v>60122</v>
      </c>
      <c r="K161" s="121"/>
      <c r="L161" s="121"/>
      <c r="M161" s="122"/>
      <c r="N161" s="79">
        <v>13070</v>
      </c>
      <c r="O161" s="79">
        <v>13070</v>
      </c>
      <c r="P161" s="79">
        <v>13070</v>
      </c>
      <c r="Q161" s="67"/>
      <c r="R161" s="68"/>
      <c r="S161" s="44"/>
      <c r="T161" s="39"/>
      <c r="U161" s="19"/>
      <c r="V161" s="19"/>
      <c r="W161" s="19"/>
      <c r="X161" s="19"/>
      <c r="Y161" s="19"/>
    </row>
    <row r="162" spans="1:25" x14ac:dyDescent="0.25">
      <c r="A162" s="11" t="s">
        <v>169</v>
      </c>
      <c r="B162" s="32">
        <v>18104071</v>
      </c>
      <c r="C162" s="9">
        <v>26</v>
      </c>
      <c r="D162" s="9"/>
      <c r="E162" s="9">
        <v>16300470571</v>
      </c>
      <c r="F162" s="57"/>
      <c r="G162" s="78">
        <v>26789</v>
      </c>
      <c r="H162" s="78">
        <v>26789</v>
      </c>
      <c r="I162" s="78">
        <v>26789</v>
      </c>
      <c r="J162" s="78">
        <v>26789</v>
      </c>
      <c r="K162" s="78">
        <v>26789</v>
      </c>
      <c r="L162" s="78">
        <v>26789</v>
      </c>
      <c r="M162" s="78">
        <v>26789</v>
      </c>
      <c r="N162" s="78">
        <v>26789</v>
      </c>
      <c r="O162" s="78">
        <v>26789</v>
      </c>
      <c r="P162" s="78">
        <v>26789</v>
      </c>
      <c r="Q162" s="78">
        <v>26789</v>
      </c>
      <c r="R162" s="83">
        <v>26789</v>
      </c>
      <c r="S162" s="44"/>
      <c r="T162" s="39"/>
      <c r="U162" s="19"/>
      <c r="V162" s="19"/>
      <c r="W162" s="19"/>
      <c r="X162" s="19"/>
      <c r="Y162" s="19"/>
    </row>
    <row r="163" spans="1:25" x14ac:dyDescent="0.25">
      <c r="A163" s="11" t="s">
        <v>717</v>
      </c>
      <c r="B163" s="32">
        <v>32401128</v>
      </c>
      <c r="C163" s="9"/>
      <c r="D163" s="9"/>
      <c r="E163" s="9" t="s">
        <v>77</v>
      </c>
      <c r="F163" s="57"/>
      <c r="G163" s="116">
        <f>18600*3</f>
        <v>55800</v>
      </c>
      <c r="H163" s="121"/>
      <c r="I163" s="122"/>
      <c r="J163" s="79">
        <v>18600</v>
      </c>
      <c r="K163" s="79">
        <v>18600</v>
      </c>
      <c r="L163" s="79">
        <v>18600</v>
      </c>
      <c r="M163" s="79">
        <v>18600</v>
      </c>
      <c r="N163" s="79">
        <v>18600</v>
      </c>
      <c r="O163" s="79">
        <v>18600</v>
      </c>
      <c r="P163" s="79">
        <v>18600</v>
      </c>
      <c r="Q163" s="67"/>
      <c r="R163" s="68"/>
      <c r="S163" s="92">
        <f>SUM(J163:R163)</f>
        <v>130200</v>
      </c>
      <c r="T163" s="39"/>
      <c r="U163" s="19"/>
      <c r="V163" s="19"/>
      <c r="W163" s="19"/>
      <c r="X163" s="19"/>
      <c r="Y163" s="19"/>
    </row>
    <row r="164" spans="1:25" x14ac:dyDescent="0.25">
      <c r="A164" s="130" t="s">
        <v>170</v>
      </c>
      <c r="B164" s="9"/>
      <c r="C164" s="9">
        <v>27</v>
      </c>
      <c r="D164" s="9"/>
      <c r="E164" s="9">
        <v>16300457167</v>
      </c>
      <c r="F164" s="5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8"/>
      <c r="S164" s="44"/>
      <c r="T164" s="39"/>
      <c r="U164" s="19"/>
      <c r="V164" s="19"/>
      <c r="W164" s="19"/>
      <c r="X164" s="19"/>
      <c r="Y164" s="19"/>
    </row>
    <row r="165" spans="1:25" x14ac:dyDescent="0.25">
      <c r="A165" s="130"/>
      <c r="B165" s="9"/>
      <c r="C165" s="9">
        <v>31</v>
      </c>
      <c r="D165" s="9"/>
      <c r="E165" s="9">
        <v>16300356648</v>
      </c>
      <c r="F165" s="5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8"/>
      <c r="S165" s="44"/>
      <c r="T165" s="39"/>
      <c r="U165" s="19"/>
      <c r="V165" s="19"/>
      <c r="W165" s="19"/>
      <c r="X165" s="19"/>
      <c r="Y165" s="19"/>
    </row>
    <row r="166" spans="1:25" x14ac:dyDescent="0.25">
      <c r="A166" s="11" t="s">
        <v>718</v>
      </c>
      <c r="B166" s="32">
        <v>26807900</v>
      </c>
      <c r="C166" s="9">
        <v>2</v>
      </c>
      <c r="D166" s="9" t="s">
        <v>52</v>
      </c>
      <c r="E166" s="9" t="s">
        <v>77</v>
      </c>
      <c r="F166" s="57"/>
      <c r="G166" s="78">
        <v>18600</v>
      </c>
      <c r="H166" s="78">
        <v>18600</v>
      </c>
      <c r="I166" s="78">
        <v>18600</v>
      </c>
      <c r="J166" s="78">
        <v>18600</v>
      </c>
      <c r="K166" s="78">
        <v>18600</v>
      </c>
      <c r="L166" s="78">
        <v>18600</v>
      </c>
      <c r="M166" s="78">
        <v>18600</v>
      </c>
      <c r="N166" s="78">
        <v>18600</v>
      </c>
      <c r="O166" s="78">
        <v>18600</v>
      </c>
      <c r="P166" s="78">
        <v>18600</v>
      </c>
      <c r="Q166" s="78">
        <v>18600</v>
      </c>
      <c r="R166" s="78">
        <v>18600</v>
      </c>
      <c r="S166" s="44"/>
      <c r="T166" s="39"/>
      <c r="U166" s="19"/>
      <c r="V166" s="19"/>
      <c r="W166" s="19"/>
      <c r="X166" s="19"/>
      <c r="Y166" s="19"/>
    </row>
    <row r="167" spans="1:25" x14ac:dyDescent="0.25">
      <c r="A167" s="11" t="s">
        <v>719</v>
      </c>
      <c r="B167" s="32">
        <v>14833359</v>
      </c>
      <c r="C167" s="9">
        <v>35</v>
      </c>
      <c r="D167" s="9"/>
      <c r="E167" s="9">
        <v>16300470462</v>
      </c>
      <c r="F167" s="57"/>
      <c r="G167" s="78">
        <v>23100</v>
      </c>
      <c r="H167" s="78">
        <v>23100</v>
      </c>
      <c r="I167" s="78">
        <v>23100</v>
      </c>
      <c r="J167" s="78">
        <v>23100</v>
      </c>
      <c r="K167" s="78">
        <v>23100</v>
      </c>
      <c r="L167" s="78">
        <v>23100</v>
      </c>
      <c r="M167" s="78">
        <v>23100</v>
      </c>
      <c r="N167" s="78">
        <v>23100</v>
      </c>
      <c r="O167" s="78">
        <v>23100</v>
      </c>
      <c r="P167" s="78">
        <v>23100</v>
      </c>
      <c r="Q167" s="67"/>
      <c r="R167" s="68"/>
      <c r="S167" s="44"/>
      <c r="T167" s="39"/>
      <c r="U167" s="19"/>
      <c r="V167" s="19"/>
      <c r="W167" s="19"/>
      <c r="X167" s="19"/>
      <c r="Y167" s="19"/>
    </row>
    <row r="168" spans="1:25" x14ac:dyDescent="0.25">
      <c r="A168" s="11" t="s">
        <v>720</v>
      </c>
      <c r="B168" s="32">
        <v>13175106</v>
      </c>
      <c r="C168" s="9" t="s">
        <v>171</v>
      </c>
      <c r="D168" s="9"/>
      <c r="E168" s="9">
        <v>16300473562</v>
      </c>
      <c r="F168" s="57"/>
      <c r="G168" s="78">
        <v>71273</v>
      </c>
      <c r="H168" s="116">
        <v>142546</v>
      </c>
      <c r="I168" s="122"/>
      <c r="J168" s="116">
        <v>641457</v>
      </c>
      <c r="K168" s="121"/>
      <c r="L168" s="121"/>
      <c r="M168" s="121"/>
      <c r="N168" s="121"/>
      <c r="O168" s="121"/>
      <c r="P168" s="121"/>
      <c r="Q168" s="121"/>
      <c r="R168" s="123"/>
      <c r="S168" s="44"/>
      <c r="T168" s="39"/>
      <c r="U168" s="19"/>
      <c r="V168" s="19"/>
      <c r="W168" s="19"/>
      <c r="X168" s="19"/>
      <c r="Y168" s="19"/>
    </row>
    <row r="169" spans="1:25" x14ac:dyDescent="0.25">
      <c r="A169" s="11" t="s">
        <v>721</v>
      </c>
      <c r="B169" s="32">
        <v>27406891</v>
      </c>
      <c r="C169" s="9">
        <v>11</v>
      </c>
      <c r="D169" s="9"/>
      <c r="E169" s="9" t="s">
        <v>77</v>
      </c>
      <c r="F169" s="57"/>
      <c r="G169" s="78">
        <v>18600</v>
      </c>
      <c r="H169" s="79">
        <v>18600</v>
      </c>
      <c r="I169" s="79">
        <v>18600</v>
      </c>
      <c r="J169" s="79">
        <v>18600</v>
      </c>
      <c r="K169" s="79">
        <v>18600</v>
      </c>
      <c r="L169" s="79">
        <v>18600</v>
      </c>
      <c r="M169" s="79">
        <v>18600</v>
      </c>
      <c r="N169" s="79">
        <v>18600</v>
      </c>
      <c r="O169" s="79">
        <v>18600</v>
      </c>
      <c r="P169" s="79">
        <v>18600</v>
      </c>
      <c r="Q169" s="67"/>
      <c r="R169" s="68"/>
      <c r="S169" s="92">
        <f>SUM(H169:R169)</f>
        <v>167400</v>
      </c>
      <c r="T169" s="39"/>
      <c r="U169" s="19"/>
      <c r="V169" s="19"/>
      <c r="W169" s="19"/>
      <c r="X169" s="19"/>
      <c r="Y169" s="19"/>
    </row>
    <row r="170" spans="1:25" x14ac:dyDescent="0.25">
      <c r="A170" s="11" t="s">
        <v>722</v>
      </c>
      <c r="B170" s="32">
        <v>31031730</v>
      </c>
      <c r="C170" s="9">
        <v>10</v>
      </c>
      <c r="D170" s="9" t="s">
        <v>13</v>
      </c>
      <c r="E170" s="9" t="s">
        <v>77</v>
      </c>
      <c r="F170" s="57"/>
      <c r="G170" s="116">
        <v>148800</v>
      </c>
      <c r="H170" s="117"/>
      <c r="I170" s="117"/>
      <c r="J170" s="117"/>
      <c r="K170" s="117"/>
      <c r="L170" s="117"/>
      <c r="M170" s="117"/>
      <c r="N170" s="118"/>
      <c r="O170" s="79">
        <v>18600</v>
      </c>
      <c r="P170" s="79">
        <v>18600</v>
      </c>
      <c r="Q170" s="67"/>
      <c r="R170" s="68"/>
      <c r="S170" s="92">
        <f>SUM(O170:R170)</f>
        <v>37200</v>
      </c>
      <c r="T170" s="39"/>
      <c r="U170" s="19"/>
      <c r="V170" s="19"/>
      <c r="W170" s="19"/>
      <c r="X170" s="19"/>
      <c r="Y170" s="19"/>
    </row>
    <row r="171" spans="1:25" x14ac:dyDescent="0.25">
      <c r="A171" s="11" t="s">
        <v>172</v>
      </c>
      <c r="B171" s="9"/>
      <c r="C171" s="9" t="s">
        <v>173</v>
      </c>
      <c r="D171" s="9"/>
      <c r="E171" s="9">
        <v>16300472241</v>
      </c>
      <c r="F171" s="57"/>
      <c r="G171" s="79">
        <v>48900</v>
      </c>
      <c r="H171" s="79">
        <v>48900</v>
      </c>
      <c r="I171" s="79">
        <v>48900</v>
      </c>
      <c r="J171" s="79">
        <v>48900</v>
      </c>
      <c r="K171" s="79">
        <v>48900</v>
      </c>
      <c r="L171" s="79">
        <v>48900</v>
      </c>
      <c r="M171" s="79">
        <v>48900</v>
      </c>
      <c r="N171" s="79">
        <v>48900</v>
      </c>
      <c r="O171" s="79">
        <v>48900</v>
      </c>
      <c r="P171" s="79">
        <v>48900</v>
      </c>
      <c r="Q171" s="67"/>
      <c r="R171" s="68"/>
      <c r="S171" s="44"/>
      <c r="T171" s="39"/>
      <c r="U171" s="19"/>
      <c r="V171" s="19"/>
      <c r="W171" s="19"/>
      <c r="X171" s="19"/>
      <c r="Y171" s="18">
        <f>26200</f>
        <v>26200</v>
      </c>
    </row>
    <row r="172" spans="1:25" x14ac:dyDescent="0.25">
      <c r="A172" s="11" t="s">
        <v>174</v>
      </c>
      <c r="B172" s="32">
        <v>17246840</v>
      </c>
      <c r="C172" s="9">
        <v>21</v>
      </c>
      <c r="D172" s="9"/>
      <c r="E172" s="9">
        <v>16300470484</v>
      </c>
      <c r="F172" s="57"/>
      <c r="G172" s="116">
        <v>121700</v>
      </c>
      <c r="H172" s="121"/>
      <c r="I172" s="121"/>
      <c r="J172" s="121"/>
      <c r="K172" s="121"/>
      <c r="L172" s="122"/>
      <c r="M172" s="116">
        <v>121700</v>
      </c>
      <c r="N172" s="117"/>
      <c r="O172" s="117"/>
      <c r="P172" s="117"/>
      <c r="Q172" s="117"/>
      <c r="R172" s="129"/>
      <c r="S172" s="44"/>
      <c r="T172" s="39"/>
      <c r="U172" s="19"/>
      <c r="V172" s="19"/>
      <c r="W172" s="19"/>
      <c r="X172" s="19"/>
      <c r="Y172" s="19"/>
    </row>
    <row r="173" spans="1:25" x14ac:dyDescent="0.25">
      <c r="A173" s="11" t="s">
        <v>723</v>
      </c>
      <c r="B173" s="32">
        <v>33043364</v>
      </c>
      <c r="C173" s="9">
        <v>1</v>
      </c>
      <c r="D173" s="9" t="s">
        <v>13</v>
      </c>
      <c r="E173" s="9" t="s">
        <v>77</v>
      </c>
      <c r="F173" s="57"/>
      <c r="G173" s="116">
        <v>111600</v>
      </c>
      <c r="H173" s="121"/>
      <c r="I173" s="121"/>
      <c r="J173" s="121"/>
      <c r="K173" s="121"/>
      <c r="L173" s="122"/>
      <c r="M173" s="79">
        <v>18600</v>
      </c>
      <c r="N173" s="79">
        <v>18600</v>
      </c>
      <c r="O173" s="79">
        <v>18600</v>
      </c>
      <c r="P173" s="79">
        <v>18600</v>
      </c>
      <c r="Q173" s="67"/>
      <c r="R173" s="68"/>
      <c r="S173" s="44"/>
      <c r="T173" s="39"/>
      <c r="U173" s="19"/>
      <c r="V173" s="19"/>
      <c r="W173" s="19"/>
      <c r="X173" s="19"/>
      <c r="Y173" s="19"/>
    </row>
    <row r="174" spans="1:25" x14ac:dyDescent="0.25">
      <c r="A174" s="11" t="s">
        <v>175</v>
      </c>
      <c r="B174" s="32">
        <v>13003849</v>
      </c>
      <c r="C174" s="9">
        <v>31</v>
      </c>
      <c r="D174" s="9"/>
      <c r="E174" s="9">
        <v>16300470466</v>
      </c>
      <c r="F174" s="57"/>
      <c r="G174" s="96">
        <v>23250</v>
      </c>
      <c r="H174" s="96">
        <v>23250</v>
      </c>
      <c r="I174" s="96">
        <v>23250</v>
      </c>
      <c r="J174" s="96">
        <v>23250</v>
      </c>
      <c r="K174" s="96">
        <v>23250</v>
      </c>
      <c r="L174" s="96">
        <v>23250</v>
      </c>
      <c r="M174" s="96">
        <v>23250</v>
      </c>
      <c r="N174" s="96">
        <v>23250</v>
      </c>
      <c r="O174" s="96">
        <v>23250</v>
      </c>
      <c r="P174" s="96">
        <v>23250</v>
      </c>
      <c r="Q174" s="97"/>
      <c r="R174" s="98"/>
      <c r="S174" s="92">
        <f>SUM(G174:R174)</f>
        <v>232500</v>
      </c>
      <c r="T174" s="39"/>
      <c r="U174" s="19"/>
      <c r="V174" s="19"/>
      <c r="W174" s="19"/>
      <c r="X174" s="19"/>
      <c r="Y174" s="19"/>
    </row>
    <row r="175" spans="1:25" x14ac:dyDescent="0.25">
      <c r="A175" s="11" t="s">
        <v>724</v>
      </c>
      <c r="B175" s="9" t="s">
        <v>725</v>
      </c>
      <c r="C175" s="9"/>
      <c r="D175" s="9"/>
      <c r="E175" s="9" t="s">
        <v>77</v>
      </c>
      <c r="F175" s="60" t="s">
        <v>751</v>
      </c>
      <c r="G175" s="94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3"/>
      <c r="S175" s="84"/>
      <c r="T175" s="39"/>
      <c r="U175" s="19"/>
      <c r="V175" s="19"/>
      <c r="W175" s="19"/>
      <c r="X175" s="19"/>
      <c r="Y175" s="19"/>
    </row>
    <row r="176" spans="1:25" x14ac:dyDescent="0.25">
      <c r="A176" s="11" t="s">
        <v>176</v>
      </c>
      <c r="B176" s="9"/>
      <c r="C176" s="9" t="s">
        <v>177</v>
      </c>
      <c r="D176" s="9"/>
      <c r="E176" s="9">
        <v>16300483918</v>
      </c>
      <c r="F176" s="57"/>
      <c r="G176" s="126"/>
      <c r="H176" s="127"/>
      <c r="I176" s="127"/>
      <c r="J176" s="127"/>
      <c r="K176" s="127"/>
      <c r="L176" s="127"/>
      <c r="M176" s="128"/>
      <c r="N176" s="99">
        <v>18600</v>
      </c>
      <c r="O176" s="99">
        <v>18600</v>
      </c>
      <c r="P176" s="99">
        <v>18600</v>
      </c>
      <c r="Q176" s="100"/>
      <c r="R176" s="101"/>
      <c r="S176" s="44"/>
      <c r="T176" s="39"/>
      <c r="U176" s="19"/>
      <c r="V176" s="19"/>
      <c r="W176" s="19"/>
      <c r="X176" s="19"/>
      <c r="Y176" s="19"/>
    </row>
    <row r="177" spans="1:25" x14ac:dyDescent="0.25">
      <c r="A177" s="11" t="s">
        <v>726</v>
      </c>
      <c r="B177" s="32">
        <v>13126932</v>
      </c>
      <c r="C177" s="9">
        <v>25</v>
      </c>
      <c r="D177" s="9"/>
      <c r="E177" s="9">
        <v>16300470477</v>
      </c>
      <c r="F177" s="57"/>
      <c r="G177" s="79">
        <v>25600</v>
      </c>
      <c r="H177" s="79">
        <v>25600</v>
      </c>
      <c r="I177" s="79">
        <v>25600</v>
      </c>
      <c r="J177" s="79">
        <v>25600</v>
      </c>
      <c r="K177" s="79">
        <v>25600</v>
      </c>
      <c r="L177" s="79">
        <v>25600</v>
      </c>
      <c r="M177" s="79">
        <v>25600</v>
      </c>
      <c r="N177" s="79">
        <v>25600</v>
      </c>
      <c r="O177" s="79">
        <v>25600</v>
      </c>
      <c r="P177" s="79">
        <v>25600</v>
      </c>
      <c r="Q177" s="67"/>
      <c r="R177" s="68"/>
      <c r="S177" s="44"/>
      <c r="T177" s="54">
        <f>262.5*12</f>
        <v>3150</v>
      </c>
      <c r="U177" s="18">
        <f>412.5*12</f>
        <v>4950</v>
      </c>
      <c r="V177" s="18">
        <f>412.5*12</f>
        <v>4950</v>
      </c>
      <c r="W177" s="18">
        <f>2250*12</f>
        <v>27000</v>
      </c>
      <c r="X177" s="18">
        <f>6050*6</f>
        <v>36300</v>
      </c>
      <c r="Y177" s="18">
        <f>12500*6</f>
        <v>75000</v>
      </c>
    </row>
    <row r="178" spans="1:25" x14ac:dyDescent="0.25">
      <c r="A178" s="188" t="s">
        <v>752</v>
      </c>
      <c r="B178" s="86"/>
      <c r="C178" s="87" t="s">
        <v>753</v>
      </c>
      <c r="D178" s="87"/>
      <c r="E178" s="87">
        <v>16300473443</v>
      </c>
      <c r="F178" s="87"/>
      <c r="G178" s="116"/>
      <c r="H178" s="121"/>
      <c r="I178" s="121"/>
      <c r="J178" s="121"/>
      <c r="K178" s="121"/>
      <c r="L178" s="122"/>
      <c r="M178" s="116">
        <v>75135.600000000006</v>
      </c>
      <c r="N178" s="121"/>
      <c r="O178" s="121"/>
      <c r="P178" s="121"/>
      <c r="Q178" s="121"/>
      <c r="R178" s="123"/>
      <c r="S178" s="44"/>
      <c r="T178" s="39"/>
      <c r="U178" s="19"/>
      <c r="V178" s="19"/>
      <c r="W178" s="19"/>
      <c r="X178" s="19"/>
      <c r="Y178" s="19"/>
    </row>
    <row r="179" spans="1:25" x14ac:dyDescent="0.25">
      <c r="A179" s="189"/>
      <c r="B179" s="86"/>
      <c r="C179" s="87" t="s">
        <v>754</v>
      </c>
      <c r="D179" s="87"/>
      <c r="E179" s="87">
        <v>16300473540</v>
      </c>
      <c r="F179" s="87"/>
      <c r="G179" s="116"/>
      <c r="H179" s="121"/>
      <c r="I179" s="121"/>
      <c r="J179" s="121"/>
      <c r="K179" s="121"/>
      <c r="L179" s="122"/>
      <c r="M179" s="116">
        <v>76032</v>
      </c>
      <c r="N179" s="121"/>
      <c r="O179" s="121"/>
      <c r="P179" s="121"/>
      <c r="Q179" s="121"/>
      <c r="R179" s="123"/>
      <c r="S179" s="44"/>
      <c r="T179" s="39"/>
      <c r="U179" s="19"/>
      <c r="V179" s="19"/>
      <c r="W179" s="19"/>
      <c r="X179" s="19"/>
      <c r="Y179" s="19"/>
    </row>
    <row r="180" spans="1:25" x14ac:dyDescent="0.25">
      <c r="A180" s="189"/>
      <c r="B180" s="86"/>
      <c r="C180" s="87" t="s">
        <v>755</v>
      </c>
      <c r="D180" s="87"/>
      <c r="E180" s="87">
        <v>16300473538</v>
      </c>
      <c r="F180" s="87"/>
      <c r="G180" s="116"/>
      <c r="H180" s="121"/>
      <c r="I180" s="121"/>
      <c r="J180" s="121"/>
      <c r="K180" s="121"/>
      <c r="L180" s="122"/>
      <c r="M180" s="116">
        <v>86081.4</v>
      </c>
      <c r="N180" s="121"/>
      <c r="O180" s="121"/>
      <c r="P180" s="121"/>
      <c r="Q180" s="121"/>
      <c r="R180" s="123"/>
      <c r="S180" s="44"/>
      <c r="T180" s="39"/>
      <c r="U180" s="19"/>
      <c r="V180" s="19"/>
      <c r="W180" s="19"/>
      <c r="X180" s="19"/>
      <c r="Y180" s="19"/>
    </row>
    <row r="181" spans="1:25" x14ac:dyDescent="0.25">
      <c r="A181" s="189"/>
      <c r="B181" s="86"/>
      <c r="C181" s="87" t="s">
        <v>756</v>
      </c>
      <c r="D181" s="87"/>
      <c r="E181" s="87">
        <v>1630047394</v>
      </c>
      <c r="F181" s="87"/>
      <c r="G181" s="116"/>
      <c r="H181" s="124"/>
      <c r="I181" s="124"/>
      <c r="J181" s="124"/>
      <c r="K181" s="124"/>
      <c r="L181" s="125"/>
      <c r="M181" s="116">
        <v>107865</v>
      </c>
      <c r="N181" s="121"/>
      <c r="O181" s="121"/>
      <c r="P181" s="121"/>
      <c r="Q181" s="121"/>
      <c r="R181" s="123"/>
      <c r="S181" s="44"/>
      <c r="T181" s="39"/>
      <c r="U181" s="19"/>
      <c r="V181" s="19"/>
      <c r="W181" s="19"/>
      <c r="X181" s="19"/>
      <c r="Y181" s="19"/>
    </row>
    <row r="182" spans="1:25" x14ac:dyDescent="0.25">
      <c r="A182" s="190"/>
      <c r="B182" s="86"/>
      <c r="C182" s="87" t="s">
        <v>757</v>
      </c>
      <c r="D182" s="87"/>
      <c r="E182" s="87">
        <v>16300474143</v>
      </c>
      <c r="F182" s="87"/>
      <c r="G182" s="116"/>
      <c r="H182" s="121"/>
      <c r="I182" s="121"/>
      <c r="J182" s="121"/>
      <c r="K182" s="121"/>
      <c r="L182" s="122"/>
      <c r="M182" s="116">
        <v>107865</v>
      </c>
      <c r="N182" s="121"/>
      <c r="O182" s="121"/>
      <c r="P182" s="121"/>
      <c r="Q182" s="121"/>
      <c r="R182" s="123"/>
      <c r="S182" s="44"/>
      <c r="T182" s="39"/>
      <c r="U182" s="19"/>
      <c r="V182" s="19"/>
      <c r="W182" s="19"/>
      <c r="X182" s="19"/>
      <c r="Y182" s="19"/>
    </row>
    <row r="183" spans="1:25" x14ac:dyDescent="0.25">
      <c r="A183" s="88" t="s">
        <v>758</v>
      </c>
      <c r="B183" s="86"/>
      <c r="C183" s="87" t="s">
        <v>759</v>
      </c>
      <c r="D183" s="87"/>
      <c r="E183" s="87">
        <v>16300464810</v>
      </c>
      <c r="F183" s="87"/>
      <c r="G183" s="116">
        <v>528000</v>
      </c>
      <c r="H183" s="117"/>
      <c r="I183" s="117"/>
      <c r="J183" s="117"/>
      <c r="K183" s="117"/>
      <c r="L183" s="118"/>
      <c r="M183" s="79">
        <f>81980+12000</f>
        <v>93980</v>
      </c>
      <c r="N183" s="79">
        <v>93980</v>
      </c>
      <c r="O183" s="79">
        <v>93980</v>
      </c>
      <c r="P183" s="79">
        <v>93980</v>
      </c>
      <c r="Q183" s="93"/>
      <c r="R183" s="93"/>
      <c r="S183" s="92">
        <f>SUM(M183:R183)</f>
        <v>375920</v>
      </c>
      <c r="T183" s="39"/>
      <c r="U183" s="19"/>
      <c r="V183" s="19"/>
      <c r="W183" s="19"/>
      <c r="X183" s="19"/>
      <c r="Y183" s="19"/>
    </row>
    <row r="184" spans="1:25" x14ac:dyDescent="0.25">
      <c r="A184" s="11" t="s">
        <v>178</v>
      </c>
      <c r="B184" s="32">
        <v>22535501</v>
      </c>
      <c r="C184" s="9">
        <v>17</v>
      </c>
      <c r="D184" s="9"/>
      <c r="E184" s="9">
        <v>16300470494</v>
      </c>
      <c r="F184" s="57"/>
      <c r="G184" s="79">
        <v>31660</v>
      </c>
      <c r="H184" s="79">
        <v>31660</v>
      </c>
      <c r="I184" s="79">
        <v>31660</v>
      </c>
      <c r="J184" s="79">
        <v>31660</v>
      </c>
      <c r="K184" s="79">
        <v>31660</v>
      </c>
      <c r="L184" s="79">
        <v>31660</v>
      </c>
      <c r="M184" s="79">
        <v>31660</v>
      </c>
      <c r="N184" s="79">
        <v>31660</v>
      </c>
      <c r="O184" s="79">
        <v>31660</v>
      </c>
      <c r="P184" s="79">
        <v>31660</v>
      </c>
      <c r="Q184" s="67"/>
      <c r="R184" s="68"/>
      <c r="S184" s="44"/>
      <c r="T184" s="39"/>
      <c r="U184" s="19"/>
      <c r="V184" s="19"/>
      <c r="W184" s="19"/>
      <c r="X184" s="18">
        <f>8690*3</f>
        <v>26070</v>
      </c>
      <c r="Y184" s="18">
        <f>16070*6</f>
        <v>96420</v>
      </c>
    </row>
    <row r="185" spans="1:25" x14ac:dyDescent="0.25">
      <c r="A185" s="130" t="s">
        <v>179</v>
      </c>
      <c r="B185" s="32">
        <v>5179481</v>
      </c>
      <c r="C185" s="9">
        <v>46</v>
      </c>
      <c r="D185" s="9"/>
      <c r="E185" s="9">
        <v>16300472057</v>
      </c>
      <c r="F185" s="57"/>
      <c r="G185" s="78">
        <v>209735</v>
      </c>
      <c r="H185" s="78">
        <v>209735</v>
      </c>
      <c r="I185" s="116">
        <f>209735*2</f>
        <v>419470</v>
      </c>
      <c r="J185" s="122"/>
      <c r="K185" s="78">
        <v>234410</v>
      </c>
      <c r="L185" s="79">
        <v>234410</v>
      </c>
      <c r="M185" s="79">
        <v>234410</v>
      </c>
      <c r="N185" s="79">
        <v>234410</v>
      </c>
      <c r="O185" s="79">
        <v>234410</v>
      </c>
      <c r="P185" s="79">
        <v>234410</v>
      </c>
      <c r="Q185" s="67"/>
      <c r="R185" s="68"/>
      <c r="S185" s="44"/>
      <c r="T185" s="39"/>
      <c r="U185" s="19"/>
      <c r="V185" s="19"/>
      <c r="W185" s="19"/>
      <c r="X185" s="19"/>
      <c r="Y185" s="19"/>
    </row>
    <row r="186" spans="1:25" x14ac:dyDescent="0.25">
      <c r="A186" s="130"/>
      <c r="B186" s="9"/>
      <c r="C186" s="9">
        <v>52</v>
      </c>
      <c r="D186" s="9"/>
      <c r="E186" s="9">
        <v>16300472575</v>
      </c>
      <c r="F186" s="57"/>
      <c r="G186" s="78">
        <v>148060</v>
      </c>
      <c r="H186" s="78">
        <v>148060</v>
      </c>
      <c r="I186" s="116">
        <f>148060*2</f>
        <v>296120</v>
      </c>
      <c r="J186" s="118"/>
      <c r="K186" s="79">
        <v>148060</v>
      </c>
      <c r="L186" s="79">
        <v>148060</v>
      </c>
      <c r="M186" s="79">
        <v>148060</v>
      </c>
      <c r="N186" s="79">
        <v>148060</v>
      </c>
      <c r="O186" s="79">
        <v>148060</v>
      </c>
      <c r="P186" s="79">
        <v>148060</v>
      </c>
      <c r="Q186" s="67"/>
      <c r="R186" s="68"/>
      <c r="S186" s="44"/>
      <c r="T186" s="39"/>
      <c r="U186" s="19"/>
      <c r="V186" s="19"/>
      <c r="W186" s="19"/>
      <c r="X186" s="19"/>
      <c r="Y186" s="19"/>
    </row>
    <row r="187" spans="1:25" x14ac:dyDescent="0.25">
      <c r="A187" s="11" t="s">
        <v>180</v>
      </c>
      <c r="B187" s="9"/>
      <c r="C187" s="9" t="s">
        <v>181</v>
      </c>
      <c r="D187" s="9"/>
      <c r="E187" s="9">
        <v>16300463377</v>
      </c>
      <c r="F187" s="57"/>
      <c r="G187" s="116">
        <f>79744.47*6</f>
        <v>478466.82</v>
      </c>
      <c r="H187" s="121"/>
      <c r="I187" s="121"/>
      <c r="J187" s="121"/>
      <c r="K187" s="121"/>
      <c r="L187" s="122"/>
      <c r="M187" s="79">
        <v>79740</v>
      </c>
      <c r="N187" s="79">
        <v>79740</v>
      </c>
      <c r="O187" s="79">
        <v>79740</v>
      </c>
      <c r="P187" s="79">
        <v>79740</v>
      </c>
      <c r="Q187" s="67"/>
      <c r="R187" s="68"/>
      <c r="S187" s="44"/>
      <c r="T187" s="39"/>
      <c r="U187" s="19"/>
      <c r="V187" s="19"/>
      <c r="W187" s="19"/>
      <c r="X187" s="19"/>
      <c r="Y187" s="19"/>
    </row>
    <row r="188" spans="1:25" x14ac:dyDescent="0.25">
      <c r="A188" s="11" t="s">
        <v>727</v>
      </c>
      <c r="B188" s="32">
        <v>11991342</v>
      </c>
      <c r="C188" s="9">
        <v>24</v>
      </c>
      <c r="D188" s="9"/>
      <c r="E188" s="9">
        <v>16300470777</v>
      </c>
      <c r="F188" s="57"/>
      <c r="G188" s="116">
        <v>99186</v>
      </c>
      <c r="H188" s="117"/>
      <c r="I188" s="117"/>
      <c r="J188" s="117"/>
      <c r="K188" s="117"/>
      <c r="L188" s="118"/>
      <c r="M188" s="79">
        <f>16531+12000</f>
        <v>28531</v>
      </c>
      <c r="N188" s="79">
        <v>28531</v>
      </c>
      <c r="O188" s="79">
        <v>28531</v>
      </c>
      <c r="P188" s="79">
        <v>28531</v>
      </c>
      <c r="Q188" s="67"/>
      <c r="R188" s="68"/>
      <c r="S188" s="44"/>
      <c r="T188" s="39"/>
      <c r="U188" s="19"/>
      <c r="V188" s="19"/>
      <c r="W188" s="19"/>
      <c r="X188" s="19"/>
      <c r="Y188" s="19"/>
    </row>
    <row r="189" spans="1:25" x14ac:dyDescent="0.25">
      <c r="A189" s="11" t="s">
        <v>728</v>
      </c>
      <c r="B189" s="9"/>
      <c r="C189" s="9">
        <v>39</v>
      </c>
      <c r="D189" s="9"/>
      <c r="E189" s="9">
        <v>16300461474</v>
      </c>
      <c r="F189" s="57"/>
      <c r="G189" s="116">
        <v>657931.35</v>
      </c>
      <c r="H189" s="121"/>
      <c r="I189" s="121"/>
      <c r="J189" s="121"/>
      <c r="K189" s="121"/>
      <c r="L189" s="123"/>
      <c r="M189" s="116">
        <v>731034</v>
      </c>
      <c r="N189" s="121"/>
      <c r="O189" s="121"/>
      <c r="P189" s="121"/>
      <c r="Q189" s="121"/>
      <c r="R189" s="123"/>
      <c r="S189" s="44"/>
      <c r="T189" s="39"/>
      <c r="U189" s="19"/>
      <c r="V189" s="19"/>
      <c r="W189" s="19"/>
      <c r="X189" s="19"/>
      <c r="Y189" s="19"/>
    </row>
    <row r="190" spans="1:25" x14ac:dyDescent="0.25">
      <c r="A190" s="11" t="s">
        <v>729</v>
      </c>
      <c r="B190" s="32">
        <v>8240036</v>
      </c>
      <c r="C190" s="9" t="s">
        <v>182</v>
      </c>
      <c r="D190" s="9"/>
      <c r="E190" s="9">
        <v>16300456216</v>
      </c>
      <c r="F190" s="57"/>
      <c r="G190" s="116">
        <v>597240</v>
      </c>
      <c r="H190" s="117"/>
      <c r="I190" s="117"/>
      <c r="J190" s="117"/>
      <c r="K190" s="117"/>
      <c r="L190" s="118"/>
      <c r="M190" s="79">
        <v>98600</v>
      </c>
      <c r="N190" s="79">
        <v>98600</v>
      </c>
      <c r="O190" s="79">
        <v>98600</v>
      </c>
      <c r="P190" s="79">
        <v>98600</v>
      </c>
      <c r="Q190" s="67"/>
      <c r="R190" s="68"/>
      <c r="S190" s="44"/>
      <c r="T190" s="39"/>
      <c r="U190" s="19"/>
      <c r="V190" s="19"/>
      <c r="W190" s="19"/>
      <c r="X190" s="19"/>
      <c r="Y190" s="19"/>
    </row>
    <row r="191" spans="1:25" x14ac:dyDescent="0.25">
      <c r="A191" s="11" t="s">
        <v>183</v>
      </c>
      <c r="B191" s="32">
        <v>30096003</v>
      </c>
      <c r="C191" s="9">
        <v>18</v>
      </c>
      <c r="D191" s="9"/>
      <c r="E191" s="9" t="s">
        <v>77</v>
      </c>
      <c r="F191" s="57"/>
      <c r="G191" s="116">
        <v>93000</v>
      </c>
      <c r="H191" s="121"/>
      <c r="I191" s="121"/>
      <c r="J191" s="121"/>
      <c r="K191" s="121"/>
      <c r="L191" s="122"/>
      <c r="M191" s="116">
        <v>55800</v>
      </c>
      <c r="N191" s="121"/>
      <c r="O191" s="122"/>
      <c r="P191" s="79">
        <v>18600</v>
      </c>
      <c r="Q191" s="67"/>
      <c r="R191" s="68"/>
      <c r="S191" s="44"/>
      <c r="T191" s="39"/>
      <c r="U191" s="19"/>
      <c r="V191" s="19"/>
      <c r="W191" s="19"/>
      <c r="X191" s="19"/>
      <c r="Y191" s="19"/>
    </row>
    <row r="192" spans="1:25" x14ac:dyDescent="0.25">
      <c r="A192" s="11" t="s">
        <v>184</v>
      </c>
      <c r="B192" s="32">
        <v>25966591</v>
      </c>
      <c r="C192" s="9">
        <v>4</v>
      </c>
      <c r="D192" s="9" t="s">
        <v>15</v>
      </c>
      <c r="E192" s="9" t="s">
        <v>77</v>
      </c>
      <c r="F192" s="57"/>
      <c r="G192" s="116">
        <v>133200</v>
      </c>
      <c r="H192" s="122"/>
      <c r="I192" s="116">
        <v>74400</v>
      </c>
      <c r="J192" s="121"/>
      <c r="K192" s="121"/>
      <c r="L192" s="122"/>
      <c r="M192" s="116">
        <v>100440</v>
      </c>
      <c r="N192" s="121"/>
      <c r="O192" s="121"/>
      <c r="P192" s="121"/>
      <c r="Q192" s="121"/>
      <c r="R192" s="123"/>
      <c r="S192" s="44"/>
      <c r="T192" s="39"/>
      <c r="U192" s="19"/>
      <c r="V192" s="19"/>
      <c r="W192" s="19"/>
      <c r="X192" s="19"/>
      <c r="Y192" s="19"/>
    </row>
    <row r="193" spans="1:25" x14ac:dyDescent="0.25">
      <c r="A193" s="11" t="s">
        <v>730</v>
      </c>
      <c r="B193" s="32">
        <v>23220791</v>
      </c>
      <c r="C193" s="9" t="s">
        <v>185</v>
      </c>
      <c r="D193" s="9"/>
      <c r="E193" s="9">
        <v>16300477461</v>
      </c>
      <c r="F193" s="57"/>
      <c r="G193" s="116">
        <v>456057</v>
      </c>
      <c r="H193" s="121"/>
      <c r="I193" s="121"/>
      <c r="J193" s="121"/>
      <c r="K193" s="121"/>
      <c r="L193" s="122"/>
      <c r="M193" s="116">
        <v>168910</v>
      </c>
      <c r="N193" s="122"/>
      <c r="O193" s="116">
        <v>253200</v>
      </c>
      <c r="P193" s="121"/>
      <c r="Q193" s="122"/>
      <c r="R193" s="68"/>
      <c r="S193" s="44"/>
      <c r="T193" s="39"/>
      <c r="U193" s="19"/>
      <c r="V193" s="19"/>
      <c r="W193" s="19"/>
      <c r="X193" s="19"/>
      <c r="Y193" s="19"/>
    </row>
    <row r="194" spans="1:25" x14ac:dyDescent="0.25">
      <c r="A194" s="11" t="s">
        <v>731</v>
      </c>
      <c r="B194" s="32">
        <v>7779863</v>
      </c>
      <c r="C194" s="9">
        <v>43</v>
      </c>
      <c r="D194" s="9"/>
      <c r="E194" s="9" t="s">
        <v>77</v>
      </c>
      <c r="F194" s="57"/>
      <c r="G194" s="116">
        <v>100440</v>
      </c>
      <c r="H194" s="121"/>
      <c r="I194" s="121"/>
      <c r="J194" s="121"/>
      <c r="K194" s="121"/>
      <c r="L194" s="122"/>
      <c r="M194" s="116">
        <v>111600</v>
      </c>
      <c r="N194" s="121"/>
      <c r="O194" s="121"/>
      <c r="P194" s="121"/>
      <c r="Q194" s="121"/>
      <c r="R194" s="123"/>
      <c r="S194" s="44"/>
      <c r="T194" s="39"/>
      <c r="U194" s="19"/>
      <c r="V194" s="19"/>
      <c r="W194" s="19"/>
      <c r="X194" s="19"/>
      <c r="Y194" s="19"/>
    </row>
    <row r="195" spans="1:25" x14ac:dyDescent="0.25">
      <c r="A195" s="11" t="s">
        <v>732</v>
      </c>
      <c r="B195" s="32">
        <v>23017180</v>
      </c>
      <c r="C195" s="9">
        <v>7</v>
      </c>
      <c r="D195" s="9"/>
      <c r="E195" s="9">
        <v>16300447487</v>
      </c>
      <c r="F195" s="57"/>
      <c r="G195" s="116">
        <v>100440</v>
      </c>
      <c r="H195" s="121"/>
      <c r="I195" s="121"/>
      <c r="J195" s="121"/>
      <c r="K195" s="121"/>
      <c r="L195" s="122"/>
      <c r="M195" s="79">
        <v>18600</v>
      </c>
      <c r="N195" s="79">
        <v>18600</v>
      </c>
      <c r="O195" s="79">
        <v>18600</v>
      </c>
      <c r="P195" s="79">
        <v>18600</v>
      </c>
      <c r="Q195" s="67"/>
      <c r="R195" s="68"/>
      <c r="S195" s="44"/>
      <c r="T195" s="39"/>
      <c r="U195" s="19"/>
      <c r="V195" s="19"/>
      <c r="W195" s="19"/>
      <c r="X195" s="19"/>
      <c r="Y195" s="19"/>
    </row>
    <row r="196" spans="1:25" x14ac:dyDescent="0.25">
      <c r="A196" s="11" t="s">
        <v>733</v>
      </c>
      <c r="B196" s="32">
        <v>11385158</v>
      </c>
      <c r="C196" s="9" t="s">
        <v>186</v>
      </c>
      <c r="D196" s="9"/>
      <c r="E196" s="9">
        <v>16300455060</v>
      </c>
      <c r="F196" s="57"/>
      <c r="G196" s="116">
        <v>78060</v>
      </c>
      <c r="H196" s="122"/>
      <c r="I196" s="116">
        <v>156120</v>
      </c>
      <c r="J196" s="121"/>
      <c r="K196" s="121"/>
      <c r="L196" s="122"/>
      <c r="M196" s="116">
        <v>78060</v>
      </c>
      <c r="N196" s="122"/>
      <c r="O196" s="116">
        <v>78060</v>
      </c>
      <c r="P196" s="122"/>
      <c r="Q196" s="67"/>
      <c r="R196" s="68"/>
      <c r="S196" s="44"/>
      <c r="T196" s="39"/>
      <c r="U196" s="19"/>
      <c r="V196" s="19"/>
      <c r="W196" s="19"/>
      <c r="X196" s="19"/>
      <c r="Y196" s="19"/>
    </row>
    <row r="197" spans="1:25" x14ac:dyDescent="0.25">
      <c r="A197" s="11" t="s">
        <v>734</v>
      </c>
      <c r="B197" s="32">
        <v>31000473</v>
      </c>
      <c r="C197" s="9" t="s">
        <v>187</v>
      </c>
      <c r="D197" s="9"/>
      <c r="E197" s="9" t="s">
        <v>77</v>
      </c>
      <c r="F197" s="57"/>
      <c r="G197" s="116">
        <f>388800+35640</f>
        <v>424440</v>
      </c>
      <c r="H197" s="121"/>
      <c r="I197" s="121"/>
      <c r="J197" s="121"/>
      <c r="K197" s="121"/>
      <c r="L197" s="122"/>
      <c r="M197" s="116">
        <v>359640</v>
      </c>
      <c r="N197" s="121"/>
      <c r="O197" s="121"/>
      <c r="P197" s="121"/>
      <c r="Q197" s="121"/>
      <c r="R197" s="123"/>
      <c r="S197" s="44"/>
      <c r="T197" s="39"/>
      <c r="U197" s="19"/>
      <c r="V197" s="19"/>
      <c r="W197" s="19"/>
      <c r="X197" s="19"/>
      <c r="Y197" s="19"/>
    </row>
    <row r="198" spans="1:25" x14ac:dyDescent="0.25">
      <c r="A198" s="11" t="s">
        <v>735</v>
      </c>
      <c r="B198" s="32">
        <v>22014645</v>
      </c>
      <c r="C198" s="9" t="s">
        <v>177</v>
      </c>
      <c r="D198" s="9"/>
      <c r="E198" s="9" t="s">
        <v>77</v>
      </c>
      <c r="F198" s="57"/>
      <c r="G198" s="79">
        <v>18600</v>
      </c>
      <c r="H198" s="79">
        <v>18600</v>
      </c>
      <c r="I198" s="79">
        <v>18600</v>
      </c>
      <c r="J198" s="79">
        <v>18600</v>
      </c>
      <c r="K198" s="79">
        <v>18600</v>
      </c>
      <c r="L198" s="79">
        <v>18600</v>
      </c>
      <c r="M198" s="79">
        <v>18600</v>
      </c>
      <c r="N198" s="79">
        <v>18600</v>
      </c>
      <c r="O198" s="79">
        <v>18600</v>
      </c>
      <c r="P198" s="79">
        <v>18600</v>
      </c>
      <c r="Q198" s="67"/>
      <c r="R198" s="68"/>
      <c r="S198" s="44"/>
      <c r="T198" s="39"/>
      <c r="U198" s="19"/>
      <c r="V198" s="19"/>
      <c r="W198" s="19"/>
      <c r="X198" s="19"/>
      <c r="Y198" s="19"/>
    </row>
    <row r="199" spans="1:25" x14ac:dyDescent="0.25">
      <c r="A199" s="11" t="s">
        <v>188</v>
      </c>
      <c r="B199" s="9"/>
      <c r="C199" s="9">
        <v>23</v>
      </c>
      <c r="D199" s="9"/>
      <c r="E199" s="9">
        <v>16300468843</v>
      </c>
      <c r="F199" s="57"/>
      <c r="G199" s="78">
        <v>157541</v>
      </c>
      <c r="H199" s="78">
        <v>157541</v>
      </c>
      <c r="I199" s="78">
        <v>157541</v>
      </c>
      <c r="J199" s="78">
        <v>157541</v>
      </c>
      <c r="K199" s="78">
        <v>157541</v>
      </c>
      <c r="L199" s="78">
        <v>157541</v>
      </c>
      <c r="M199" s="78">
        <v>157541</v>
      </c>
      <c r="N199" s="78">
        <v>157541</v>
      </c>
      <c r="O199" s="78">
        <v>157541</v>
      </c>
      <c r="P199" s="78">
        <v>157541</v>
      </c>
      <c r="Q199" s="67"/>
      <c r="R199" s="68"/>
      <c r="S199" s="44"/>
      <c r="T199" s="39"/>
      <c r="U199" s="19"/>
      <c r="V199" s="19"/>
      <c r="W199" s="19"/>
      <c r="X199" s="19"/>
      <c r="Y199" s="19"/>
    </row>
    <row r="200" spans="1:25" x14ac:dyDescent="0.25">
      <c r="A200" s="11" t="s">
        <v>736</v>
      </c>
      <c r="B200" s="32">
        <v>18580590</v>
      </c>
      <c r="C200" s="9" t="s">
        <v>189</v>
      </c>
      <c r="D200" s="9"/>
      <c r="E200" s="9">
        <v>16300458112</v>
      </c>
      <c r="F200" s="57"/>
      <c r="G200" s="78">
        <v>138576</v>
      </c>
      <c r="H200" s="79">
        <v>138576</v>
      </c>
      <c r="I200" s="79">
        <v>138576</v>
      </c>
      <c r="J200" s="79">
        <v>138576</v>
      </c>
      <c r="K200" s="79">
        <v>138576</v>
      </c>
      <c r="L200" s="79">
        <v>138576</v>
      </c>
      <c r="M200" s="79">
        <v>138576</v>
      </c>
      <c r="N200" s="79">
        <v>138576</v>
      </c>
      <c r="O200" s="79">
        <v>138576</v>
      </c>
      <c r="P200" s="79">
        <v>138576</v>
      </c>
      <c r="Q200" s="67"/>
      <c r="R200" s="68"/>
      <c r="S200" s="44"/>
      <c r="T200" s="39"/>
      <c r="U200" s="19"/>
      <c r="V200" s="19"/>
      <c r="W200" s="19"/>
      <c r="X200" s="19"/>
      <c r="Y200" s="19"/>
    </row>
    <row r="201" spans="1:25" x14ac:dyDescent="0.25">
      <c r="A201" s="11" t="s">
        <v>190</v>
      </c>
      <c r="B201" s="9"/>
      <c r="C201" s="9" t="s">
        <v>191</v>
      </c>
      <c r="D201" s="9"/>
      <c r="E201" s="9">
        <v>16300477165</v>
      </c>
      <c r="F201" s="57"/>
      <c r="G201" s="116">
        <v>389998</v>
      </c>
      <c r="H201" s="121"/>
      <c r="I201" s="121"/>
      <c r="J201" s="121"/>
      <c r="K201" s="121"/>
      <c r="L201" s="122"/>
      <c r="M201" s="116">
        <v>144400</v>
      </c>
      <c r="N201" s="122"/>
      <c r="O201" s="116">
        <v>216600</v>
      </c>
      <c r="P201" s="121"/>
      <c r="Q201" s="122"/>
      <c r="R201" s="68"/>
      <c r="S201" s="44"/>
      <c r="T201" s="39"/>
      <c r="U201" s="19"/>
      <c r="V201" s="19"/>
      <c r="W201" s="19"/>
      <c r="X201" s="19"/>
      <c r="Y201" s="19"/>
    </row>
    <row r="202" spans="1:25" x14ac:dyDescent="0.25">
      <c r="A202" s="11" t="s">
        <v>192</v>
      </c>
      <c r="B202" s="32">
        <v>24421012</v>
      </c>
      <c r="C202" s="9">
        <v>11</v>
      </c>
      <c r="D202" s="9" t="s">
        <v>13</v>
      </c>
      <c r="E202" s="9" t="s">
        <v>77</v>
      </c>
      <c r="F202" s="57"/>
      <c r="G202" s="116">
        <v>111600</v>
      </c>
      <c r="H202" s="121"/>
      <c r="I202" s="121"/>
      <c r="J202" s="121"/>
      <c r="K202" s="121"/>
      <c r="L202" s="122"/>
      <c r="M202" s="79">
        <v>18600</v>
      </c>
      <c r="N202" s="79">
        <v>18600</v>
      </c>
      <c r="O202" s="79">
        <v>18600</v>
      </c>
      <c r="P202" s="79">
        <v>18600</v>
      </c>
      <c r="Q202" s="67"/>
      <c r="R202" s="68"/>
      <c r="S202" s="44"/>
      <c r="T202" s="39"/>
      <c r="U202" s="19"/>
      <c r="V202" s="19"/>
      <c r="W202" s="19"/>
      <c r="X202" s="19"/>
      <c r="Y202" s="19"/>
    </row>
    <row r="203" spans="1:25" x14ac:dyDescent="0.25">
      <c r="A203" s="11" t="s">
        <v>193</v>
      </c>
      <c r="B203" s="9"/>
      <c r="C203" s="9" t="s">
        <v>194</v>
      </c>
      <c r="D203" s="9"/>
      <c r="E203" s="9">
        <v>16300476445</v>
      </c>
      <c r="F203" s="57"/>
      <c r="G203" s="116">
        <v>632880</v>
      </c>
      <c r="H203" s="122"/>
      <c r="I203" s="116">
        <v>2380300</v>
      </c>
      <c r="J203" s="121"/>
      <c r="K203" s="121"/>
      <c r="L203" s="121"/>
      <c r="M203" s="121"/>
      <c r="N203" s="122"/>
      <c r="O203" s="79">
        <f>184440+132000</f>
        <v>316440</v>
      </c>
      <c r="P203" s="79">
        <v>316440</v>
      </c>
      <c r="Q203" s="67"/>
      <c r="R203" s="68"/>
      <c r="S203" s="44"/>
      <c r="T203" s="39"/>
      <c r="U203" s="19"/>
      <c r="V203" s="19"/>
      <c r="W203" s="19"/>
      <c r="X203" s="19"/>
      <c r="Y203" s="19"/>
    </row>
    <row r="204" spans="1:25" x14ac:dyDescent="0.25">
      <c r="A204" s="11" t="s">
        <v>738</v>
      </c>
      <c r="B204" s="32">
        <v>25725043</v>
      </c>
      <c r="C204" s="9">
        <v>10</v>
      </c>
      <c r="D204" s="9" t="s">
        <v>5</v>
      </c>
      <c r="E204" s="9" t="s">
        <v>77</v>
      </c>
      <c r="F204" s="57"/>
      <c r="G204" s="116">
        <v>111600</v>
      </c>
      <c r="H204" s="121"/>
      <c r="I204" s="121"/>
      <c r="J204" s="121"/>
      <c r="K204" s="121"/>
      <c r="L204" s="122"/>
      <c r="M204" s="116">
        <v>100440</v>
      </c>
      <c r="N204" s="121"/>
      <c r="O204" s="121"/>
      <c r="P204" s="121"/>
      <c r="Q204" s="121"/>
      <c r="R204" s="122"/>
      <c r="S204" s="44"/>
      <c r="T204" s="39"/>
      <c r="U204" s="19"/>
      <c r="V204" s="19"/>
      <c r="W204" s="19"/>
      <c r="X204" s="19"/>
      <c r="Y204" s="19"/>
    </row>
    <row r="205" spans="1:25" x14ac:dyDescent="0.25">
      <c r="A205" s="11" t="s">
        <v>737</v>
      </c>
      <c r="B205" s="32">
        <v>16165089</v>
      </c>
      <c r="C205" s="9">
        <v>1</v>
      </c>
      <c r="D205" s="9"/>
      <c r="E205" s="9">
        <v>16300483914</v>
      </c>
      <c r="F205" s="57"/>
      <c r="G205" s="116">
        <v>298809</v>
      </c>
      <c r="H205" s="117"/>
      <c r="I205" s="117"/>
      <c r="J205" s="117"/>
      <c r="K205" s="117"/>
      <c r="L205" s="118"/>
      <c r="M205" s="79">
        <v>31935</v>
      </c>
      <c r="N205" s="79">
        <v>31935</v>
      </c>
      <c r="O205" s="79">
        <v>31935</v>
      </c>
      <c r="P205" s="79">
        <v>31935</v>
      </c>
      <c r="Q205" s="67"/>
      <c r="R205" s="68"/>
      <c r="S205" s="44"/>
      <c r="T205" s="39"/>
      <c r="U205" s="19"/>
      <c r="V205" s="19"/>
      <c r="W205" s="19"/>
      <c r="X205" s="19"/>
      <c r="Y205" s="19"/>
    </row>
    <row r="206" spans="1:25" x14ac:dyDescent="0.25">
      <c r="A206" s="11" t="s">
        <v>740</v>
      </c>
      <c r="B206" s="9" t="s">
        <v>739</v>
      </c>
      <c r="C206" s="9">
        <v>5</v>
      </c>
      <c r="D206" s="9" t="s">
        <v>15</v>
      </c>
      <c r="E206" s="9" t="s">
        <v>77</v>
      </c>
      <c r="F206" s="57"/>
      <c r="G206" s="116">
        <v>100440</v>
      </c>
      <c r="H206" s="117"/>
      <c r="I206" s="117"/>
      <c r="J206" s="117"/>
      <c r="K206" s="117"/>
      <c r="L206" s="118"/>
      <c r="M206" s="79">
        <v>18600</v>
      </c>
      <c r="N206" s="79">
        <v>18600</v>
      </c>
      <c r="O206" s="79">
        <v>18600</v>
      </c>
      <c r="P206" s="79">
        <v>18600</v>
      </c>
      <c r="Q206" s="67"/>
      <c r="R206" s="68"/>
      <c r="S206" s="44"/>
      <c r="T206" s="39"/>
      <c r="U206" s="19"/>
      <c r="V206" s="19"/>
      <c r="W206" s="19"/>
      <c r="X206" s="19"/>
      <c r="Y206" s="19"/>
    </row>
    <row r="207" spans="1:25" x14ac:dyDescent="0.25">
      <c r="A207" s="11" t="s">
        <v>195</v>
      </c>
      <c r="B207" s="9"/>
      <c r="C207" s="9">
        <v>34</v>
      </c>
      <c r="D207" s="9"/>
      <c r="E207" s="9">
        <v>16300454047</v>
      </c>
      <c r="F207" s="57"/>
      <c r="G207" s="78">
        <v>81230</v>
      </c>
      <c r="H207" s="78">
        <v>81230</v>
      </c>
      <c r="I207" s="78">
        <v>81230</v>
      </c>
      <c r="J207" s="78">
        <v>81230</v>
      </c>
      <c r="K207" s="78">
        <v>81230</v>
      </c>
      <c r="L207" s="78">
        <v>81230</v>
      </c>
      <c r="M207" s="78">
        <v>81230</v>
      </c>
      <c r="N207" s="78">
        <v>81230</v>
      </c>
      <c r="O207" s="78">
        <v>81230</v>
      </c>
      <c r="P207" s="79">
        <v>81230</v>
      </c>
      <c r="Q207" s="67"/>
      <c r="R207" s="68"/>
      <c r="S207" s="44"/>
      <c r="T207" s="39"/>
      <c r="U207" s="19"/>
      <c r="V207" s="19"/>
      <c r="W207" s="19"/>
      <c r="X207" s="19"/>
      <c r="Y207" s="19"/>
    </row>
    <row r="208" spans="1:25" x14ac:dyDescent="0.25">
      <c r="A208" s="11" t="s">
        <v>195</v>
      </c>
      <c r="B208" s="9"/>
      <c r="C208" s="9">
        <v>33</v>
      </c>
      <c r="D208" s="9"/>
      <c r="E208" s="91">
        <v>16300455232</v>
      </c>
      <c r="F208" s="91"/>
      <c r="G208" s="78">
        <v>94995</v>
      </c>
      <c r="H208" s="78">
        <v>94995</v>
      </c>
      <c r="I208" s="78">
        <v>94995</v>
      </c>
      <c r="J208" s="78">
        <v>94995</v>
      </c>
      <c r="K208" s="78">
        <v>94995</v>
      </c>
      <c r="L208" s="78">
        <v>94995</v>
      </c>
      <c r="M208" s="78">
        <v>94995</v>
      </c>
      <c r="N208" s="78">
        <v>94995</v>
      </c>
      <c r="O208" s="78">
        <v>94995</v>
      </c>
      <c r="P208" s="79">
        <v>94995</v>
      </c>
      <c r="Q208" s="67"/>
      <c r="R208" s="68"/>
      <c r="S208" s="44"/>
      <c r="T208" s="39"/>
      <c r="U208" s="19"/>
      <c r="V208" s="19"/>
      <c r="W208" s="19"/>
      <c r="X208" s="19"/>
      <c r="Y208" s="19"/>
    </row>
    <row r="209" spans="1:25" x14ac:dyDescent="0.25">
      <c r="A209" s="11" t="s">
        <v>196</v>
      </c>
      <c r="B209" s="9"/>
      <c r="C209" s="9">
        <v>35</v>
      </c>
      <c r="D209" s="9"/>
      <c r="E209" s="91">
        <v>16300454167</v>
      </c>
      <c r="F209" s="91"/>
      <c r="G209" s="78">
        <v>92389</v>
      </c>
      <c r="H209" s="78">
        <v>92389</v>
      </c>
      <c r="I209" s="78">
        <v>92389</v>
      </c>
      <c r="J209" s="78">
        <v>92389</v>
      </c>
      <c r="K209" s="78">
        <v>92389</v>
      </c>
      <c r="L209" s="78">
        <v>92389</v>
      </c>
      <c r="M209" s="78">
        <v>92389</v>
      </c>
      <c r="N209" s="78">
        <v>92389</v>
      </c>
      <c r="O209" s="78">
        <v>92389</v>
      </c>
      <c r="P209" s="79">
        <v>92389</v>
      </c>
      <c r="Q209" s="67"/>
      <c r="R209" s="68"/>
      <c r="S209" s="44"/>
      <c r="T209" s="39"/>
      <c r="U209" s="19"/>
      <c r="V209" s="19"/>
      <c r="W209" s="19"/>
      <c r="X209" s="19"/>
      <c r="Y209" s="19"/>
    </row>
    <row r="210" spans="1:25" x14ac:dyDescent="0.25">
      <c r="A210" s="11" t="s">
        <v>197</v>
      </c>
      <c r="B210" s="9"/>
      <c r="C210" s="9">
        <v>14</v>
      </c>
      <c r="D210" s="9"/>
      <c r="E210" s="9">
        <v>16300465872</v>
      </c>
      <c r="F210" s="57"/>
      <c r="G210" s="79">
        <v>31960</v>
      </c>
      <c r="H210" s="79">
        <v>31960</v>
      </c>
      <c r="I210" s="79">
        <v>31960</v>
      </c>
      <c r="J210" s="79">
        <v>31960</v>
      </c>
      <c r="K210" s="79">
        <v>31960</v>
      </c>
      <c r="L210" s="79">
        <v>31960</v>
      </c>
      <c r="M210" s="79">
        <v>31960</v>
      </c>
      <c r="N210" s="79">
        <v>31960</v>
      </c>
      <c r="O210" s="79">
        <v>31960</v>
      </c>
      <c r="P210" s="79">
        <v>31960</v>
      </c>
      <c r="Q210" s="67"/>
      <c r="R210" s="68"/>
      <c r="S210" s="44"/>
      <c r="T210" s="39"/>
      <c r="U210" s="19"/>
      <c r="V210" s="19"/>
      <c r="W210" s="19"/>
      <c r="X210" s="18">
        <f>8700*6</f>
        <v>52200</v>
      </c>
      <c r="Y210" s="18">
        <f>16640*6</f>
        <v>99840</v>
      </c>
    </row>
    <row r="211" spans="1:25" x14ac:dyDescent="0.25">
      <c r="A211" s="11" t="s">
        <v>198</v>
      </c>
      <c r="B211" s="9"/>
      <c r="C211" s="9" t="s">
        <v>199</v>
      </c>
      <c r="D211" s="9"/>
      <c r="E211" s="9">
        <v>16300462682</v>
      </c>
      <c r="F211" s="57"/>
      <c r="G211" s="78">
        <v>18600</v>
      </c>
      <c r="H211" s="116">
        <v>55800</v>
      </c>
      <c r="I211" s="121"/>
      <c r="J211" s="122"/>
      <c r="K211" s="116">
        <v>55800</v>
      </c>
      <c r="L211" s="121"/>
      <c r="M211" s="122"/>
      <c r="N211" s="79">
        <v>18600</v>
      </c>
      <c r="O211" s="79">
        <v>18600</v>
      </c>
      <c r="P211" s="79">
        <v>18600</v>
      </c>
      <c r="Q211" s="67"/>
      <c r="R211" s="68"/>
      <c r="S211" s="44"/>
      <c r="T211" s="39"/>
      <c r="U211" s="19"/>
      <c r="V211" s="19"/>
      <c r="W211" s="19"/>
      <c r="X211" s="19"/>
      <c r="Y211" s="19"/>
    </row>
    <row r="212" spans="1:25" x14ac:dyDescent="0.25">
      <c r="A212" s="11" t="s">
        <v>200</v>
      </c>
      <c r="B212" s="9"/>
      <c r="C212" s="9" t="s">
        <v>201</v>
      </c>
      <c r="D212" s="9"/>
      <c r="E212" s="9">
        <v>16300474092</v>
      </c>
      <c r="F212" s="57"/>
      <c r="G212" s="78">
        <v>398741</v>
      </c>
      <c r="H212" s="116">
        <v>673705</v>
      </c>
      <c r="I212" s="117"/>
      <c r="J212" s="117"/>
      <c r="K212" s="117"/>
      <c r="L212" s="118"/>
      <c r="M212" s="116">
        <v>269482</v>
      </c>
      <c r="N212" s="118"/>
      <c r="O212" s="79">
        <v>134741</v>
      </c>
      <c r="P212" s="79">
        <v>134741</v>
      </c>
      <c r="Q212" s="67"/>
      <c r="R212" s="68"/>
      <c r="S212" s="44"/>
      <c r="T212" s="39"/>
      <c r="U212" s="19"/>
      <c r="V212" s="19"/>
      <c r="W212" s="19"/>
      <c r="X212" s="19"/>
      <c r="Y212" s="19"/>
    </row>
    <row r="213" spans="1:25" x14ac:dyDescent="0.25">
      <c r="A213" s="11" t="s">
        <v>202</v>
      </c>
      <c r="B213" s="9"/>
      <c r="C213" s="9">
        <v>40</v>
      </c>
      <c r="D213" s="9"/>
      <c r="E213" s="9">
        <v>16300471814</v>
      </c>
      <c r="F213" s="57"/>
      <c r="G213" s="78">
        <v>226878</v>
      </c>
      <c r="H213" s="78">
        <v>226878</v>
      </c>
      <c r="I213" s="78">
        <v>226878</v>
      </c>
      <c r="J213" s="78">
        <v>226878</v>
      </c>
      <c r="K213" s="78">
        <v>226878</v>
      </c>
      <c r="L213" s="78">
        <v>226878</v>
      </c>
      <c r="M213" s="78">
        <v>226878</v>
      </c>
      <c r="N213" s="78">
        <v>226878</v>
      </c>
      <c r="O213" s="78">
        <v>226878</v>
      </c>
      <c r="P213" s="78">
        <v>226878</v>
      </c>
      <c r="Q213" s="67"/>
      <c r="R213" s="68"/>
      <c r="S213" s="44"/>
      <c r="T213" s="39"/>
      <c r="U213" s="19"/>
      <c r="V213" s="19"/>
      <c r="W213" s="19"/>
      <c r="X213" s="19"/>
      <c r="Y213" s="19"/>
    </row>
    <row r="214" spans="1:25" x14ac:dyDescent="0.25">
      <c r="A214" s="11" t="s">
        <v>203</v>
      </c>
      <c r="B214" s="9"/>
      <c r="C214" s="9"/>
      <c r="D214" s="9"/>
      <c r="E214" s="9"/>
      <c r="F214" s="5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8"/>
      <c r="S214" s="44"/>
      <c r="T214" s="39"/>
      <c r="U214" s="19"/>
      <c r="V214" s="19"/>
      <c r="W214" s="19"/>
      <c r="X214" s="19"/>
      <c r="Y214" s="19"/>
    </row>
    <row r="215" spans="1:25" ht="15.75" thickBot="1" x14ac:dyDescent="0.3">
      <c r="A215" s="11" t="s">
        <v>204</v>
      </c>
      <c r="B215" s="9"/>
      <c r="C215" s="9">
        <v>2</v>
      </c>
      <c r="D215" s="9">
        <v>25</v>
      </c>
      <c r="E215" s="9">
        <v>16300466627</v>
      </c>
      <c r="F215" s="61"/>
      <c r="G215" s="109">
        <v>110887</v>
      </c>
      <c r="H215" s="109">
        <v>110887</v>
      </c>
      <c r="I215" s="109">
        <v>110887</v>
      </c>
      <c r="J215" s="109">
        <v>110887</v>
      </c>
      <c r="K215" s="109">
        <v>110887</v>
      </c>
      <c r="L215" s="109">
        <v>110887</v>
      </c>
      <c r="M215" s="109">
        <v>110887</v>
      </c>
      <c r="N215" s="109">
        <v>110887</v>
      </c>
      <c r="O215" s="109">
        <v>110887</v>
      </c>
      <c r="P215" s="109">
        <v>110887</v>
      </c>
      <c r="Q215" s="69"/>
      <c r="R215" s="70"/>
      <c r="S215" s="45"/>
      <c r="T215" s="39"/>
      <c r="U215" s="19"/>
      <c r="V215" s="19"/>
      <c r="W215" s="19"/>
      <c r="X215" s="19"/>
      <c r="Y215" s="19"/>
    </row>
  </sheetData>
  <mergeCells count="198">
    <mergeCell ref="G203:H203"/>
    <mergeCell ref="I203:N203"/>
    <mergeCell ref="G204:L204"/>
    <mergeCell ref="M204:R204"/>
    <mergeCell ref="G205:L205"/>
    <mergeCell ref="G206:L206"/>
    <mergeCell ref="H211:J211"/>
    <mergeCell ref="K211:M211"/>
    <mergeCell ref="H212:L212"/>
    <mergeCell ref="M212:N212"/>
    <mergeCell ref="G202:L202"/>
    <mergeCell ref="G190:L190"/>
    <mergeCell ref="G195:L195"/>
    <mergeCell ref="G194:L194"/>
    <mergeCell ref="M194:R194"/>
    <mergeCell ref="G192:H192"/>
    <mergeCell ref="I192:L192"/>
    <mergeCell ref="M192:R192"/>
    <mergeCell ref="G191:L191"/>
    <mergeCell ref="M191:O191"/>
    <mergeCell ref="G197:L197"/>
    <mergeCell ref="M197:R197"/>
    <mergeCell ref="G196:H196"/>
    <mergeCell ref="I196:L196"/>
    <mergeCell ref="M196:N196"/>
    <mergeCell ref="O196:P196"/>
    <mergeCell ref="G187:L187"/>
    <mergeCell ref="G188:L188"/>
    <mergeCell ref="M189:R189"/>
    <mergeCell ref="G189:L189"/>
    <mergeCell ref="I185:J185"/>
    <mergeCell ref="I186:J186"/>
    <mergeCell ref="G201:L201"/>
    <mergeCell ref="M201:N201"/>
    <mergeCell ref="O201:Q201"/>
    <mergeCell ref="G193:L193"/>
    <mergeCell ref="M193:N193"/>
    <mergeCell ref="O193:Q193"/>
    <mergeCell ref="K128:L128"/>
    <mergeCell ref="G130:J130"/>
    <mergeCell ref="G131:J131"/>
    <mergeCell ref="J144:L144"/>
    <mergeCell ref="M144:O144"/>
    <mergeCell ref="M140:R140"/>
    <mergeCell ref="G140:L141"/>
    <mergeCell ref="M141:N141"/>
    <mergeCell ref="G142:L142"/>
    <mergeCell ref="H134:I134"/>
    <mergeCell ref="G138:L138"/>
    <mergeCell ref="G143:J143"/>
    <mergeCell ref="G139:P139"/>
    <mergeCell ref="G89:L89"/>
    <mergeCell ref="G91:L91"/>
    <mergeCell ref="G93:L93"/>
    <mergeCell ref="H94:K94"/>
    <mergeCell ref="L94:M94"/>
    <mergeCell ref="G94:G100"/>
    <mergeCell ref="H95:K95"/>
    <mergeCell ref="H96:K96"/>
    <mergeCell ref="L96:O96"/>
    <mergeCell ref="H97:J97"/>
    <mergeCell ref="H98:K98"/>
    <mergeCell ref="L98:R98"/>
    <mergeCell ref="H99:K99"/>
    <mergeCell ref="L99:R99"/>
    <mergeCell ref="G81:L81"/>
    <mergeCell ref="M80:R80"/>
    <mergeCell ref="G87:L87"/>
    <mergeCell ref="M87:R87"/>
    <mergeCell ref="G80:L80"/>
    <mergeCell ref="G78:L78"/>
    <mergeCell ref="M78:R78"/>
    <mergeCell ref="G82:L82"/>
    <mergeCell ref="M82:R82"/>
    <mergeCell ref="M11:O11"/>
    <mergeCell ref="G3:N3"/>
    <mergeCell ref="G5:L5"/>
    <mergeCell ref="M5:R5"/>
    <mergeCell ref="G14:L14"/>
    <mergeCell ref="M14:R14"/>
    <mergeCell ref="G11:I11"/>
    <mergeCell ref="G8:R8"/>
    <mergeCell ref="G9:L9"/>
    <mergeCell ref="J11:L11"/>
    <mergeCell ref="I84:L84"/>
    <mergeCell ref="T1:T2"/>
    <mergeCell ref="U1:U2"/>
    <mergeCell ref="V1:V2"/>
    <mergeCell ref="W1:W2"/>
    <mergeCell ref="X1:Y1"/>
    <mergeCell ref="B140:B141"/>
    <mergeCell ref="A185:A186"/>
    <mergeCell ref="A128:A131"/>
    <mergeCell ref="A112:A113"/>
    <mergeCell ref="A140:A141"/>
    <mergeCell ref="A160:A161"/>
    <mergeCell ref="A164:A165"/>
    <mergeCell ref="G1:R1"/>
    <mergeCell ref="A1:A2"/>
    <mergeCell ref="C1:C2"/>
    <mergeCell ref="D1:D2"/>
    <mergeCell ref="E1:E2"/>
    <mergeCell ref="B1:B2"/>
    <mergeCell ref="F1:F2"/>
    <mergeCell ref="A94:A100"/>
    <mergeCell ref="G29:L29"/>
    <mergeCell ref="G30:L30"/>
    <mergeCell ref="G13:I13"/>
    <mergeCell ref="I19:K19"/>
    <mergeCell ref="G27:L27"/>
    <mergeCell ref="A55:A56"/>
    <mergeCell ref="A77:A78"/>
    <mergeCell ref="G24:L24"/>
    <mergeCell ref="I20:K20"/>
    <mergeCell ref="B55:B56"/>
    <mergeCell ref="G28:N28"/>
    <mergeCell ref="G52:I52"/>
    <mergeCell ref="J52:L52"/>
    <mergeCell ref="M52:R52"/>
    <mergeCell ref="M19:O19"/>
    <mergeCell ref="M20:O20"/>
    <mergeCell ref="G21:R21"/>
    <mergeCell ref="M24:R24"/>
    <mergeCell ref="M27:R27"/>
    <mergeCell ref="M29:R29"/>
    <mergeCell ref="G22:L22"/>
    <mergeCell ref="A89:A93"/>
    <mergeCell ref="G47:I47"/>
    <mergeCell ref="J47:L47"/>
    <mergeCell ref="G49:I49"/>
    <mergeCell ref="J49:L49"/>
    <mergeCell ref="G50:L50"/>
    <mergeCell ref="H54:I54"/>
    <mergeCell ref="J54:M54"/>
    <mergeCell ref="G58:L58"/>
    <mergeCell ref="G64:L64"/>
    <mergeCell ref="G72:L72"/>
    <mergeCell ref="M72:R72"/>
    <mergeCell ref="G66:L66"/>
    <mergeCell ref="G75:R75"/>
    <mergeCell ref="G65:L65"/>
    <mergeCell ref="M65:R65"/>
    <mergeCell ref="M49:R49"/>
    <mergeCell ref="M50:N50"/>
    <mergeCell ref="N74:P74"/>
    <mergeCell ref="J83:P83"/>
    <mergeCell ref="I85:J85"/>
    <mergeCell ref="G86:L86"/>
    <mergeCell ref="G88:I88"/>
    <mergeCell ref="M86:R86"/>
    <mergeCell ref="G163:I163"/>
    <mergeCell ref="G172:L172"/>
    <mergeCell ref="M172:R172"/>
    <mergeCell ref="H168:I168"/>
    <mergeCell ref="J168:R168"/>
    <mergeCell ref="G170:N170"/>
    <mergeCell ref="L100:M100"/>
    <mergeCell ref="G116:L116"/>
    <mergeCell ref="G115:L115"/>
    <mergeCell ref="M115:N115"/>
    <mergeCell ref="G127:I127"/>
    <mergeCell ref="G123:H123"/>
    <mergeCell ref="G109:H109"/>
    <mergeCell ref="G108:L108"/>
    <mergeCell ref="G111:H111"/>
    <mergeCell ref="G107:L107"/>
    <mergeCell ref="M107:R107"/>
    <mergeCell ref="M106:R106"/>
    <mergeCell ref="G106:L106"/>
    <mergeCell ref="G105:R105"/>
    <mergeCell ref="G103:L103"/>
    <mergeCell ref="M103:R103"/>
    <mergeCell ref="G129:J129"/>
    <mergeCell ref="G128:J128"/>
    <mergeCell ref="G16:L16"/>
    <mergeCell ref="M16:R16"/>
    <mergeCell ref="G145:J145"/>
    <mergeCell ref="G183:L183"/>
    <mergeCell ref="A178:A182"/>
    <mergeCell ref="G178:L178"/>
    <mergeCell ref="M178:R178"/>
    <mergeCell ref="G179:L179"/>
    <mergeCell ref="M179:R179"/>
    <mergeCell ref="G180:L180"/>
    <mergeCell ref="M180:R180"/>
    <mergeCell ref="G181:L181"/>
    <mergeCell ref="M181:R181"/>
    <mergeCell ref="G182:L182"/>
    <mergeCell ref="M182:R182"/>
    <mergeCell ref="G150:M150"/>
    <mergeCell ref="G152:R152"/>
    <mergeCell ref="G149:L149"/>
    <mergeCell ref="G161:I161"/>
    <mergeCell ref="J161:M161"/>
    <mergeCell ref="G160:M160"/>
    <mergeCell ref="G146:L146"/>
    <mergeCell ref="G173:L173"/>
    <mergeCell ref="G176:M176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2" sqref="B12"/>
    </sheetView>
  </sheetViews>
  <sheetFormatPr baseColWidth="10" defaultRowHeight="15" x14ac:dyDescent="0.25"/>
  <cols>
    <col min="1" max="1" width="38.28515625" customWidth="1"/>
    <col min="2" max="2" width="32.28515625" customWidth="1"/>
    <col min="5" max="5" width="39.5703125" customWidth="1"/>
  </cols>
  <sheetData>
    <row r="1" spans="1:5" x14ac:dyDescent="0.25">
      <c r="A1" s="153" t="s">
        <v>2</v>
      </c>
      <c r="B1" s="157" t="s">
        <v>672</v>
      </c>
      <c r="C1" s="153" t="s">
        <v>0</v>
      </c>
      <c r="D1" s="153" t="s">
        <v>4</v>
      </c>
      <c r="E1" s="153" t="s">
        <v>1</v>
      </c>
    </row>
    <row r="2" spans="1:5" x14ac:dyDescent="0.25">
      <c r="A2" s="175"/>
      <c r="B2" s="143"/>
      <c r="C2" s="176"/>
      <c r="D2" s="176"/>
      <c r="E2" s="176"/>
    </row>
    <row r="3" spans="1:5" x14ac:dyDescent="0.25">
      <c r="A3" s="2" t="s">
        <v>8</v>
      </c>
      <c r="B3" s="27">
        <v>28787934</v>
      </c>
      <c r="C3" s="29" t="s">
        <v>9</v>
      </c>
      <c r="D3" s="29"/>
      <c r="E3" s="29" t="s">
        <v>6</v>
      </c>
    </row>
    <row r="4" spans="1:5" x14ac:dyDescent="0.25">
      <c r="A4" s="2" t="s">
        <v>10</v>
      </c>
      <c r="B4" s="27">
        <v>10580271</v>
      </c>
      <c r="C4" s="29" t="s">
        <v>11</v>
      </c>
      <c r="D4" s="29"/>
      <c r="E4" s="29">
        <v>16300471441</v>
      </c>
    </row>
    <row r="5" spans="1:5" x14ac:dyDescent="0.25">
      <c r="A5" s="2" t="s">
        <v>675</v>
      </c>
      <c r="B5" s="29" t="s">
        <v>674</v>
      </c>
      <c r="C5" s="29">
        <v>58</v>
      </c>
      <c r="D5" s="29"/>
      <c r="E5" s="29">
        <v>16300508955</v>
      </c>
    </row>
    <row r="6" spans="1:5" x14ac:dyDescent="0.25">
      <c r="A6" s="5" t="s">
        <v>3</v>
      </c>
      <c r="B6" s="26" t="s">
        <v>673</v>
      </c>
      <c r="C6" s="29">
        <v>9</v>
      </c>
      <c r="D6" s="29" t="s">
        <v>5</v>
      </c>
      <c r="E6" s="29" t="s">
        <v>6</v>
      </c>
    </row>
    <row r="7" spans="1:5" x14ac:dyDescent="0.25">
      <c r="A7" s="2" t="s">
        <v>676</v>
      </c>
      <c r="B7" s="27" t="s">
        <v>677</v>
      </c>
      <c r="C7" s="29">
        <v>17</v>
      </c>
      <c r="D7" s="29" t="s">
        <v>13</v>
      </c>
      <c r="E7" s="29" t="s">
        <v>6</v>
      </c>
    </row>
    <row r="8" spans="1:5" x14ac:dyDescent="0.25">
      <c r="A8" s="2" t="s">
        <v>16</v>
      </c>
      <c r="B8" s="27">
        <v>33034148</v>
      </c>
      <c r="C8" s="29">
        <v>4</v>
      </c>
      <c r="D8" s="29"/>
      <c r="E8" s="29">
        <v>16300447487</v>
      </c>
    </row>
    <row r="9" spans="1:5" x14ac:dyDescent="0.25">
      <c r="A9" s="2" t="s">
        <v>18</v>
      </c>
      <c r="B9" s="27">
        <v>21063617</v>
      </c>
      <c r="C9" s="29">
        <v>67</v>
      </c>
      <c r="D9" s="29"/>
      <c r="E9" s="29">
        <v>16300509339</v>
      </c>
    </row>
    <row r="10" spans="1:5" x14ac:dyDescent="0.25">
      <c r="A10" s="2" t="s">
        <v>19</v>
      </c>
      <c r="B10" s="27">
        <v>18119721</v>
      </c>
      <c r="C10" s="29">
        <v>12</v>
      </c>
      <c r="D10" s="29"/>
      <c r="E10" s="29">
        <v>16300471388</v>
      </c>
    </row>
    <row r="11" spans="1:5" x14ac:dyDescent="0.25">
      <c r="A11" s="2" t="s">
        <v>25</v>
      </c>
      <c r="B11" s="27">
        <v>28671702</v>
      </c>
      <c r="C11" s="29">
        <v>2</v>
      </c>
      <c r="D11" s="29"/>
      <c r="E11" s="29">
        <v>16300482926</v>
      </c>
    </row>
    <row r="12" spans="1:5" x14ac:dyDescent="0.25">
      <c r="A12" s="2" t="s">
        <v>35</v>
      </c>
      <c r="B12" s="27">
        <v>25695752</v>
      </c>
      <c r="C12" s="29">
        <v>49</v>
      </c>
      <c r="D12" s="29"/>
      <c r="E12" s="29" t="s">
        <v>6</v>
      </c>
    </row>
    <row r="13" spans="1:5" x14ac:dyDescent="0.25">
      <c r="A13" s="2" t="s">
        <v>37</v>
      </c>
      <c r="B13" s="27">
        <v>21780345</v>
      </c>
      <c r="C13" s="29">
        <v>55</v>
      </c>
      <c r="D13" s="29"/>
      <c r="E13" s="29"/>
    </row>
    <row r="14" spans="1:5" x14ac:dyDescent="0.25">
      <c r="A14" s="2" t="s">
        <v>38</v>
      </c>
      <c r="B14" s="27">
        <v>27968418</v>
      </c>
      <c r="C14" s="29" t="s">
        <v>39</v>
      </c>
      <c r="D14" s="29"/>
      <c r="E14" s="29">
        <v>16300465885</v>
      </c>
    </row>
    <row r="15" spans="1:5" x14ac:dyDescent="0.25">
      <c r="A15" s="2" t="s">
        <v>40</v>
      </c>
      <c r="B15" s="27">
        <v>28238026</v>
      </c>
      <c r="C15" s="29">
        <v>7</v>
      </c>
      <c r="D15" s="29" t="s">
        <v>41</v>
      </c>
      <c r="E15" s="29" t="s">
        <v>6</v>
      </c>
    </row>
    <row r="16" spans="1:5" x14ac:dyDescent="0.25">
      <c r="A16" s="2" t="s">
        <v>42</v>
      </c>
      <c r="B16" s="27">
        <v>33043390</v>
      </c>
      <c r="C16" s="29">
        <v>2</v>
      </c>
      <c r="D16" s="29" t="s">
        <v>15</v>
      </c>
      <c r="E16" s="29" t="s">
        <v>6</v>
      </c>
    </row>
    <row r="17" spans="1:5" x14ac:dyDescent="0.25">
      <c r="A17" s="5" t="s">
        <v>43</v>
      </c>
      <c r="B17" s="26" t="s">
        <v>678</v>
      </c>
      <c r="C17" s="29">
        <v>6</v>
      </c>
      <c r="D17" s="29"/>
      <c r="E17" s="29">
        <v>16300470167</v>
      </c>
    </row>
    <row r="18" spans="1:5" x14ac:dyDescent="0.25">
      <c r="A18" s="2" t="s">
        <v>44</v>
      </c>
      <c r="B18" s="27">
        <v>18104086</v>
      </c>
      <c r="C18" s="29">
        <v>27</v>
      </c>
      <c r="D18" s="29"/>
      <c r="E18" s="29">
        <v>16300470573</v>
      </c>
    </row>
    <row r="19" spans="1:5" x14ac:dyDescent="0.25">
      <c r="A19" s="2" t="s">
        <v>45</v>
      </c>
      <c r="B19" s="27">
        <v>13812063</v>
      </c>
      <c r="C19" s="29">
        <v>20</v>
      </c>
      <c r="D19" s="29"/>
      <c r="E19" s="29" t="s">
        <v>679</v>
      </c>
    </row>
    <row r="20" spans="1:5" x14ac:dyDescent="0.25">
      <c r="A20" s="5" t="s">
        <v>46</v>
      </c>
      <c r="B20" s="28">
        <v>28212979</v>
      </c>
      <c r="C20" s="29">
        <v>38</v>
      </c>
      <c r="D20" s="29"/>
      <c r="E20" s="29">
        <v>16300470540</v>
      </c>
    </row>
    <row r="21" spans="1:5" x14ac:dyDescent="0.25">
      <c r="A21" s="5" t="s">
        <v>47</v>
      </c>
      <c r="B21" s="28">
        <v>20122138</v>
      </c>
      <c r="C21" s="29" t="s">
        <v>48</v>
      </c>
      <c r="D21" s="29"/>
      <c r="E21" s="29">
        <v>16300476419</v>
      </c>
    </row>
    <row r="22" spans="1:5" x14ac:dyDescent="0.25">
      <c r="A22" s="5" t="s">
        <v>50</v>
      </c>
      <c r="B22" s="28">
        <v>36669325</v>
      </c>
      <c r="C22" s="29">
        <v>9</v>
      </c>
      <c r="D22" s="29"/>
      <c r="E22" s="29">
        <v>16300482412</v>
      </c>
    </row>
    <row r="23" spans="1:5" x14ac:dyDescent="0.25">
      <c r="A23" s="2" t="s">
        <v>53</v>
      </c>
      <c r="B23" s="29" t="s">
        <v>680</v>
      </c>
      <c r="C23" s="29">
        <v>1</v>
      </c>
      <c r="D23" s="29" t="s">
        <v>52</v>
      </c>
      <c r="E23" s="29" t="s">
        <v>6</v>
      </c>
    </row>
    <row r="24" spans="1:5" x14ac:dyDescent="0.25">
      <c r="A24" s="2" t="s">
        <v>59</v>
      </c>
      <c r="B24" s="29" t="s">
        <v>681</v>
      </c>
      <c r="C24" s="29">
        <v>62</v>
      </c>
      <c r="D24" s="29"/>
      <c r="E24" s="29">
        <v>16300508851</v>
      </c>
    </row>
    <row r="25" spans="1:5" x14ac:dyDescent="0.25">
      <c r="A25" s="2" t="s">
        <v>60</v>
      </c>
      <c r="B25" s="27">
        <v>17336876</v>
      </c>
      <c r="C25" s="29">
        <v>36</v>
      </c>
      <c r="D25" s="29"/>
      <c r="E25" s="29">
        <v>16300470358</v>
      </c>
    </row>
    <row r="26" spans="1:5" x14ac:dyDescent="0.25">
      <c r="A26" s="2" t="s">
        <v>61</v>
      </c>
      <c r="B26" s="27">
        <v>23801885</v>
      </c>
      <c r="C26" s="29">
        <v>46</v>
      </c>
      <c r="D26" s="29"/>
      <c r="E26" s="29">
        <v>16300470142</v>
      </c>
    </row>
    <row r="27" spans="1:5" x14ac:dyDescent="0.25">
      <c r="A27" s="2" t="s">
        <v>62</v>
      </c>
      <c r="B27" s="27">
        <v>18104072</v>
      </c>
      <c r="C27" s="29">
        <v>64</v>
      </c>
      <c r="D27" s="29"/>
      <c r="E27" s="29" t="s">
        <v>6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0"/>
  <sheetViews>
    <sheetView workbookViewId="0">
      <selection activeCell="B84" sqref="B84"/>
    </sheetView>
  </sheetViews>
  <sheetFormatPr baseColWidth="10" defaultRowHeight="15" x14ac:dyDescent="0.25"/>
  <cols>
    <col min="1" max="1" width="5.5703125" style="1" customWidth="1"/>
    <col min="2" max="2" width="34.7109375" customWidth="1"/>
    <col min="3" max="3" width="39.5703125" customWidth="1"/>
    <col min="4" max="4" width="23.42578125" customWidth="1"/>
    <col min="5" max="5" width="17.7109375" style="1" customWidth="1"/>
    <col min="6" max="7" width="16.42578125" style="1" customWidth="1"/>
    <col min="8" max="8" width="24.28515625" style="1" customWidth="1"/>
    <col min="9" max="9" width="15.42578125" style="1" customWidth="1"/>
  </cols>
  <sheetData>
    <row r="1" spans="1:21" ht="15.75" x14ac:dyDescent="0.25">
      <c r="A1" s="177"/>
      <c r="B1" s="181" t="s">
        <v>227</v>
      </c>
      <c r="C1" s="181" t="s">
        <v>206</v>
      </c>
      <c r="D1" s="181" t="s">
        <v>205</v>
      </c>
      <c r="E1" s="181" t="s">
        <v>207</v>
      </c>
      <c r="F1" s="181" t="s">
        <v>208</v>
      </c>
      <c r="G1" s="181" t="s">
        <v>226</v>
      </c>
      <c r="H1" s="178" t="s">
        <v>209</v>
      </c>
      <c r="I1" s="181" t="s">
        <v>210</v>
      </c>
      <c r="J1" s="180">
        <v>2025</v>
      </c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</row>
    <row r="2" spans="1:21" ht="15.75" x14ac:dyDescent="0.25">
      <c r="A2" s="177"/>
      <c r="B2" s="181"/>
      <c r="C2" s="181"/>
      <c r="D2" s="181"/>
      <c r="E2" s="181"/>
      <c r="F2" s="181"/>
      <c r="G2" s="181"/>
      <c r="H2" s="178"/>
      <c r="I2" s="181"/>
      <c r="J2" s="15" t="s">
        <v>211</v>
      </c>
      <c r="K2" s="15" t="s">
        <v>212</v>
      </c>
      <c r="L2" s="15" t="s">
        <v>213</v>
      </c>
      <c r="M2" s="15" t="s">
        <v>214</v>
      </c>
      <c r="N2" s="15" t="s">
        <v>215</v>
      </c>
      <c r="O2" s="15" t="s">
        <v>216</v>
      </c>
      <c r="P2" s="15" t="s">
        <v>217</v>
      </c>
      <c r="Q2" s="15" t="s">
        <v>218</v>
      </c>
      <c r="R2" s="15" t="s">
        <v>219</v>
      </c>
      <c r="S2" s="15" t="s">
        <v>220</v>
      </c>
      <c r="T2" s="15" t="s">
        <v>221</v>
      </c>
      <c r="U2" s="15" t="s">
        <v>222</v>
      </c>
    </row>
    <row r="3" spans="1:21" x14ac:dyDescent="0.25">
      <c r="A3" s="1">
        <v>1</v>
      </c>
      <c r="B3" s="2" t="s">
        <v>240</v>
      </c>
      <c r="C3" s="2" t="s">
        <v>223</v>
      </c>
      <c r="D3" s="2" t="s">
        <v>224</v>
      </c>
      <c r="E3" s="6" t="s">
        <v>225</v>
      </c>
      <c r="F3" s="6">
        <v>1405</v>
      </c>
      <c r="G3" s="6">
        <v>2021</v>
      </c>
      <c r="H3" s="6" t="s">
        <v>232</v>
      </c>
      <c r="I3" s="6" t="s">
        <v>228</v>
      </c>
    </row>
    <row r="4" spans="1:21" x14ac:dyDescent="0.25">
      <c r="A4" s="1">
        <v>2</v>
      </c>
      <c r="B4" s="2" t="s">
        <v>240</v>
      </c>
      <c r="C4" s="2" t="s">
        <v>229</v>
      </c>
      <c r="D4" s="2" t="s">
        <v>230</v>
      </c>
      <c r="E4" s="6" t="s">
        <v>231</v>
      </c>
      <c r="F4" s="6">
        <v>2480</v>
      </c>
      <c r="G4" s="6">
        <v>2010</v>
      </c>
      <c r="H4" s="6" t="s">
        <v>233</v>
      </c>
      <c r="I4" s="6" t="s">
        <v>234</v>
      </c>
    </row>
    <row r="5" spans="1:21" x14ac:dyDescent="0.25">
      <c r="A5" s="1">
        <v>3</v>
      </c>
      <c r="B5" s="2" t="s">
        <v>235</v>
      </c>
      <c r="C5" s="2" t="s">
        <v>325</v>
      </c>
      <c r="D5" s="2" t="s">
        <v>236</v>
      </c>
      <c r="E5" s="6" t="s">
        <v>237</v>
      </c>
      <c r="F5" s="6">
        <v>1147</v>
      </c>
      <c r="G5" s="6">
        <v>2010</v>
      </c>
      <c r="H5" s="6" t="s">
        <v>238</v>
      </c>
      <c r="I5" s="6" t="s">
        <v>239</v>
      </c>
    </row>
    <row r="6" spans="1:21" x14ac:dyDescent="0.25">
      <c r="A6" s="1">
        <v>4</v>
      </c>
      <c r="B6" s="2" t="s">
        <v>241</v>
      </c>
      <c r="C6" s="2" t="s">
        <v>242</v>
      </c>
      <c r="D6" s="2" t="s">
        <v>236</v>
      </c>
      <c r="E6" s="6" t="s">
        <v>243</v>
      </c>
      <c r="F6" s="6">
        <v>1126</v>
      </c>
      <c r="G6" s="6">
        <v>2009</v>
      </c>
      <c r="H6" s="6" t="s">
        <v>244</v>
      </c>
      <c r="I6" s="6" t="s">
        <v>245</v>
      </c>
    </row>
    <row r="7" spans="1:21" x14ac:dyDescent="0.25">
      <c r="A7" s="1">
        <v>5</v>
      </c>
      <c r="B7" s="179" t="s">
        <v>246</v>
      </c>
      <c r="C7" s="3" t="s">
        <v>247</v>
      </c>
      <c r="D7" s="2" t="s">
        <v>248</v>
      </c>
      <c r="E7" s="4" t="s">
        <v>249</v>
      </c>
      <c r="F7" s="6">
        <v>905</v>
      </c>
      <c r="G7" s="6">
        <v>2003</v>
      </c>
      <c r="H7" s="6" t="s">
        <v>250</v>
      </c>
      <c r="I7" s="6" t="s">
        <v>251</v>
      </c>
    </row>
    <row r="8" spans="1:21" x14ac:dyDescent="0.25">
      <c r="A8" s="8">
        <v>6</v>
      </c>
      <c r="B8" s="179"/>
      <c r="C8" s="2" t="s">
        <v>268</v>
      </c>
      <c r="D8" s="2" t="s">
        <v>236</v>
      </c>
      <c r="E8" s="9" t="s">
        <v>269</v>
      </c>
      <c r="F8" s="6">
        <v>1047</v>
      </c>
      <c r="G8" s="6">
        <v>2017</v>
      </c>
      <c r="H8" s="6" t="s">
        <v>270</v>
      </c>
      <c r="I8" s="6" t="s">
        <v>271</v>
      </c>
    </row>
    <row r="9" spans="1:21" x14ac:dyDescent="0.25">
      <c r="A9" s="8">
        <v>7</v>
      </c>
      <c r="B9" s="10" t="s">
        <v>276</v>
      </c>
      <c r="C9" s="11" t="s">
        <v>272</v>
      </c>
      <c r="D9" s="2" t="s">
        <v>224</v>
      </c>
      <c r="E9" s="6" t="s">
        <v>273</v>
      </c>
      <c r="F9" s="6">
        <v>1220</v>
      </c>
      <c r="G9" s="6">
        <v>2008</v>
      </c>
      <c r="H9" s="6" t="s">
        <v>274</v>
      </c>
      <c r="I9" s="6" t="s">
        <v>275</v>
      </c>
    </row>
    <row r="10" spans="1:21" x14ac:dyDescent="0.25">
      <c r="A10" s="8">
        <v>8</v>
      </c>
      <c r="B10" s="2" t="s">
        <v>252</v>
      </c>
      <c r="C10" s="2" t="s">
        <v>253</v>
      </c>
      <c r="D10" s="2" t="s">
        <v>236</v>
      </c>
      <c r="E10" s="6" t="s">
        <v>254</v>
      </c>
      <c r="F10" s="6">
        <v>1309</v>
      </c>
      <c r="G10" s="6">
        <v>2018</v>
      </c>
      <c r="H10" s="6" t="s">
        <v>255</v>
      </c>
      <c r="I10" s="6" t="s">
        <v>256</v>
      </c>
    </row>
    <row r="11" spans="1:21" x14ac:dyDescent="0.25">
      <c r="A11" s="8">
        <v>9</v>
      </c>
      <c r="B11" s="2" t="s">
        <v>258</v>
      </c>
      <c r="C11" s="2" t="s">
        <v>257</v>
      </c>
      <c r="D11" s="2" t="s">
        <v>224</v>
      </c>
      <c r="E11" s="6" t="s">
        <v>259</v>
      </c>
      <c r="F11" s="6">
        <v>1025</v>
      </c>
      <c r="G11" s="6">
        <v>2006</v>
      </c>
      <c r="H11" s="6" t="s">
        <v>260</v>
      </c>
      <c r="I11" s="6" t="s">
        <v>261</v>
      </c>
    </row>
    <row r="12" spans="1:21" x14ac:dyDescent="0.25">
      <c r="A12" s="8">
        <v>10</v>
      </c>
      <c r="B12" s="2" t="s">
        <v>262</v>
      </c>
      <c r="C12" s="2" t="s">
        <v>263</v>
      </c>
      <c r="D12" s="2" t="s">
        <v>264</v>
      </c>
      <c r="E12" s="6" t="s">
        <v>265</v>
      </c>
      <c r="F12" s="6">
        <v>1285</v>
      </c>
      <c r="G12" s="6">
        <v>2018</v>
      </c>
      <c r="H12" s="6" t="s">
        <v>266</v>
      </c>
      <c r="I12" s="6" t="s">
        <v>267</v>
      </c>
    </row>
    <row r="13" spans="1:21" x14ac:dyDescent="0.25">
      <c r="A13" s="8">
        <v>11</v>
      </c>
      <c r="B13" s="182" t="s">
        <v>277</v>
      </c>
      <c r="C13" s="3" t="s">
        <v>278</v>
      </c>
      <c r="D13" s="2" t="s">
        <v>230</v>
      </c>
      <c r="E13" s="6" t="s">
        <v>279</v>
      </c>
      <c r="F13" s="6">
        <v>3500</v>
      </c>
      <c r="G13" s="6">
        <v>2003</v>
      </c>
      <c r="H13" s="6">
        <v>607060458</v>
      </c>
      <c r="I13" s="6" t="s">
        <v>280</v>
      </c>
    </row>
    <row r="14" spans="1:21" x14ac:dyDescent="0.25">
      <c r="A14" s="8">
        <v>12</v>
      </c>
      <c r="B14" s="182"/>
      <c r="C14" s="2" t="s">
        <v>285</v>
      </c>
      <c r="D14" s="2" t="s">
        <v>224</v>
      </c>
      <c r="E14" s="6" t="s">
        <v>286</v>
      </c>
      <c r="F14" s="6">
        <v>1866</v>
      </c>
      <c r="G14" s="6">
        <v>2007</v>
      </c>
      <c r="H14" s="6" t="s">
        <v>287</v>
      </c>
      <c r="I14" s="6" t="s">
        <v>288</v>
      </c>
    </row>
    <row r="15" spans="1:21" x14ac:dyDescent="0.25">
      <c r="A15" s="8">
        <v>13</v>
      </c>
      <c r="B15" s="2" t="s">
        <v>281</v>
      </c>
      <c r="C15" s="2" t="s">
        <v>323</v>
      </c>
      <c r="D15" s="2" t="s">
        <v>264</v>
      </c>
      <c r="E15" s="6" t="s">
        <v>282</v>
      </c>
      <c r="F15" s="6">
        <v>1225</v>
      </c>
      <c r="G15" s="6">
        <v>2007</v>
      </c>
      <c r="H15" s="6" t="s">
        <v>283</v>
      </c>
      <c r="I15" s="6" t="s">
        <v>284</v>
      </c>
    </row>
    <row r="16" spans="1:21" x14ac:dyDescent="0.25">
      <c r="A16" s="8">
        <v>14</v>
      </c>
      <c r="B16" s="182" t="s">
        <v>289</v>
      </c>
      <c r="C16" s="2" t="s">
        <v>320</v>
      </c>
      <c r="D16" s="2" t="s">
        <v>264</v>
      </c>
      <c r="E16" s="6" t="s">
        <v>321</v>
      </c>
      <c r="F16" s="6">
        <v>1415</v>
      </c>
      <c r="G16" s="6">
        <v>2017</v>
      </c>
      <c r="H16" s="6">
        <v>3151677</v>
      </c>
      <c r="I16" s="6" t="s">
        <v>322</v>
      </c>
    </row>
    <row r="17" spans="1:9" x14ac:dyDescent="0.25">
      <c r="A17" s="8">
        <v>15</v>
      </c>
      <c r="B17" s="182"/>
      <c r="C17" s="2" t="s">
        <v>290</v>
      </c>
      <c r="D17" s="2" t="s">
        <v>224</v>
      </c>
      <c r="E17" s="6" t="s">
        <v>291</v>
      </c>
      <c r="F17" s="6">
        <v>1276</v>
      </c>
      <c r="G17" s="6">
        <v>2011</v>
      </c>
      <c r="H17" s="6" t="s">
        <v>292</v>
      </c>
      <c r="I17" s="6" t="s">
        <v>293</v>
      </c>
    </row>
    <row r="18" spans="1:9" x14ac:dyDescent="0.25">
      <c r="A18" s="8">
        <v>16</v>
      </c>
      <c r="B18" s="182" t="s">
        <v>294</v>
      </c>
      <c r="C18" s="2" t="s">
        <v>316</v>
      </c>
      <c r="D18" s="2" t="s">
        <v>230</v>
      </c>
      <c r="E18" s="6" t="s">
        <v>317</v>
      </c>
      <c r="F18" s="6">
        <v>1810</v>
      </c>
      <c r="G18" s="6">
        <v>2015</v>
      </c>
      <c r="H18" s="6" t="s">
        <v>318</v>
      </c>
      <c r="I18" s="6" t="s">
        <v>319</v>
      </c>
    </row>
    <row r="19" spans="1:9" x14ac:dyDescent="0.25">
      <c r="A19" s="8">
        <v>17</v>
      </c>
      <c r="B19" s="182"/>
      <c r="C19" s="3" t="s">
        <v>295</v>
      </c>
      <c r="D19" s="2" t="s">
        <v>296</v>
      </c>
      <c r="E19" s="6" t="s">
        <v>297</v>
      </c>
      <c r="F19" s="6">
        <v>325</v>
      </c>
      <c r="G19" s="6">
        <v>1971</v>
      </c>
      <c r="H19" s="6" t="s">
        <v>298</v>
      </c>
      <c r="I19" s="6" t="s">
        <v>299</v>
      </c>
    </row>
    <row r="20" spans="1:9" x14ac:dyDescent="0.25">
      <c r="A20" s="8">
        <v>18</v>
      </c>
      <c r="B20" s="182" t="s">
        <v>300</v>
      </c>
      <c r="C20" s="3" t="s">
        <v>301</v>
      </c>
      <c r="D20" s="2" t="s">
        <v>302</v>
      </c>
      <c r="E20" s="6" t="s">
        <v>303</v>
      </c>
      <c r="F20" s="6">
        <v>1105</v>
      </c>
      <c r="G20" s="6">
        <v>2011</v>
      </c>
      <c r="H20" s="6" t="s">
        <v>304</v>
      </c>
      <c r="I20" s="6"/>
    </row>
    <row r="21" spans="1:9" x14ac:dyDescent="0.25">
      <c r="A21" s="8">
        <v>19</v>
      </c>
      <c r="B21" s="182"/>
      <c r="C21" s="3" t="s">
        <v>311</v>
      </c>
      <c r="D21" s="2" t="s">
        <v>312</v>
      </c>
      <c r="E21" s="6" t="s">
        <v>313</v>
      </c>
      <c r="F21" s="6">
        <v>2070</v>
      </c>
      <c r="G21" s="6">
        <v>2010</v>
      </c>
      <c r="H21" s="6" t="s">
        <v>314</v>
      </c>
      <c r="I21" s="6" t="s">
        <v>315</v>
      </c>
    </row>
    <row r="22" spans="1:9" x14ac:dyDescent="0.25">
      <c r="A22" s="8">
        <v>20</v>
      </c>
      <c r="B22" s="183" t="s">
        <v>305</v>
      </c>
      <c r="C22" s="2" t="s">
        <v>306</v>
      </c>
      <c r="D22" s="2" t="s">
        <v>307</v>
      </c>
      <c r="E22" s="6" t="s">
        <v>308</v>
      </c>
      <c r="F22" s="6">
        <v>1620</v>
      </c>
      <c r="G22" s="6">
        <v>2009</v>
      </c>
      <c r="H22" s="6" t="s">
        <v>309</v>
      </c>
      <c r="I22" s="6" t="s">
        <v>310</v>
      </c>
    </row>
    <row r="23" spans="1:9" x14ac:dyDescent="0.25">
      <c r="A23" s="8">
        <v>21</v>
      </c>
      <c r="B23" s="184"/>
      <c r="C23" s="2" t="s">
        <v>329</v>
      </c>
      <c r="D23" s="2" t="s">
        <v>230</v>
      </c>
      <c r="E23" s="6" t="s">
        <v>330</v>
      </c>
      <c r="F23" s="6">
        <v>1996</v>
      </c>
      <c r="G23" s="6">
        <v>2015</v>
      </c>
      <c r="H23" s="6" t="s">
        <v>331</v>
      </c>
      <c r="I23" s="6" t="s">
        <v>332</v>
      </c>
    </row>
    <row r="24" spans="1:9" x14ac:dyDescent="0.25">
      <c r="A24" s="8">
        <v>22</v>
      </c>
      <c r="B24" s="2" t="s">
        <v>324</v>
      </c>
      <c r="C24" s="2" t="s">
        <v>325</v>
      </c>
      <c r="D24" s="2" t="s">
        <v>236</v>
      </c>
      <c r="E24" s="6" t="s">
        <v>326</v>
      </c>
      <c r="F24" s="6">
        <v>1040</v>
      </c>
      <c r="G24" s="6">
        <v>2009</v>
      </c>
      <c r="H24" s="6" t="s">
        <v>327</v>
      </c>
      <c r="I24" s="6" t="s">
        <v>328</v>
      </c>
    </row>
    <row r="25" spans="1:9" x14ac:dyDescent="0.25">
      <c r="A25" s="8">
        <v>23</v>
      </c>
      <c r="B25" s="2" t="s">
        <v>333</v>
      </c>
      <c r="C25" s="2" t="s">
        <v>334</v>
      </c>
      <c r="D25" s="2" t="s">
        <v>230</v>
      </c>
      <c r="E25" s="6" t="s">
        <v>335</v>
      </c>
      <c r="F25" s="6">
        <v>1910</v>
      </c>
      <c r="G25" s="6">
        <v>2013</v>
      </c>
      <c r="H25" s="6" t="s">
        <v>336</v>
      </c>
      <c r="I25" s="6" t="s">
        <v>337</v>
      </c>
    </row>
    <row r="26" spans="1:9" x14ac:dyDescent="0.25">
      <c r="A26" s="8">
        <v>24</v>
      </c>
      <c r="B26" s="2" t="s">
        <v>338</v>
      </c>
      <c r="C26" s="2" t="s">
        <v>339</v>
      </c>
      <c r="D26" s="2" t="s">
        <v>236</v>
      </c>
      <c r="E26" s="6" t="s">
        <v>340</v>
      </c>
      <c r="F26" s="6">
        <v>1022</v>
      </c>
      <c r="G26" s="6">
        <v>2021</v>
      </c>
      <c r="H26" s="6" t="s">
        <v>341</v>
      </c>
      <c r="I26" s="6" t="s">
        <v>342</v>
      </c>
    </row>
    <row r="27" spans="1:9" x14ac:dyDescent="0.25">
      <c r="A27" s="8">
        <v>25</v>
      </c>
      <c r="B27" s="2" t="s">
        <v>343</v>
      </c>
      <c r="C27" s="2" t="s">
        <v>344</v>
      </c>
      <c r="D27" s="7" t="s">
        <v>224</v>
      </c>
      <c r="E27" s="6" t="s">
        <v>345</v>
      </c>
      <c r="F27" s="6">
        <v>1088</v>
      </c>
      <c r="G27" s="6">
        <v>2023</v>
      </c>
      <c r="H27" s="6" t="s">
        <v>346</v>
      </c>
      <c r="I27" s="6" t="s">
        <v>347</v>
      </c>
    </row>
    <row r="28" spans="1:9" x14ac:dyDescent="0.25">
      <c r="A28" s="8">
        <v>26</v>
      </c>
      <c r="B28" s="2" t="s">
        <v>348</v>
      </c>
      <c r="C28" s="2" t="s">
        <v>349</v>
      </c>
      <c r="D28" s="2" t="s">
        <v>350</v>
      </c>
      <c r="E28" s="6" t="s">
        <v>351</v>
      </c>
      <c r="F28" s="6">
        <v>1227</v>
      </c>
      <c r="G28" s="6">
        <v>2021</v>
      </c>
      <c r="H28" s="6" t="s">
        <v>352</v>
      </c>
      <c r="I28" s="6" t="s">
        <v>353</v>
      </c>
    </row>
    <row r="29" spans="1:9" x14ac:dyDescent="0.25">
      <c r="A29" s="8">
        <v>27</v>
      </c>
      <c r="B29" s="2" t="s">
        <v>354</v>
      </c>
      <c r="C29" s="2" t="s">
        <v>355</v>
      </c>
      <c r="D29" s="2" t="s">
        <v>230</v>
      </c>
      <c r="E29" s="6" t="s">
        <v>356</v>
      </c>
      <c r="F29" s="6">
        <v>2990</v>
      </c>
      <c r="G29" s="6">
        <v>2023</v>
      </c>
      <c r="H29" s="6" t="s">
        <v>357</v>
      </c>
      <c r="I29" s="6" t="s">
        <v>358</v>
      </c>
    </row>
    <row r="30" spans="1:9" x14ac:dyDescent="0.25">
      <c r="A30" s="8">
        <v>28</v>
      </c>
      <c r="B30" s="2" t="s">
        <v>359</v>
      </c>
      <c r="C30" s="2" t="s">
        <v>360</v>
      </c>
      <c r="D30" s="2" t="s">
        <v>224</v>
      </c>
      <c r="E30" s="6" t="s">
        <v>361</v>
      </c>
      <c r="F30" s="6">
        <v>1080</v>
      </c>
      <c r="G30" s="6">
        <v>2006</v>
      </c>
      <c r="H30" s="6" t="s">
        <v>362</v>
      </c>
      <c r="I30" s="6" t="s">
        <v>363</v>
      </c>
    </row>
    <row r="31" spans="1:9" x14ac:dyDescent="0.25">
      <c r="A31" s="8">
        <v>29</v>
      </c>
      <c r="B31" s="2" t="s">
        <v>364</v>
      </c>
      <c r="C31" s="2" t="s">
        <v>334</v>
      </c>
      <c r="D31" s="2" t="s">
        <v>230</v>
      </c>
      <c r="E31" s="6" t="s">
        <v>365</v>
      </c>
      <c r="F31" s="6">
        <v>2095</v>
      </c>
      <c r="G31" s="6">
        <v>2018</v>
      </c>
      <c r="H31" s="6" t="s">
        <v>366</v>
      </c>
      <c r="I31" s="6" t="s">
        <v>367</v>
      </c>
    </row>
    <row r="32" spans="1:9" x14ac:dyDescent="0.25">
      <c r="A32" s="8">
        <v>30</v>
      </c>
      <c r="B32" s="2" t="s">
        <v>368</v>
      </c>
      <c r="C32" s="2" t="s">
        <v>334</v>
      </c>
      <c r="D32" s="2" t="s">
        <v>230</v>
      </c>
      <c r="E32" s="6" t="s">
        <v>369</v>
      </c>
      <c r="F32" s="6">
        <v>1790</v>
      </c>
      <c r="G32" s="6">
        <v>2006</v>
      </c>
      <c r="H32" s="6" t="s">
        <v>370</v>
      </c>
      <c r="I32" s="6" t="s">
        <v>371</v>
      </c>
    </row>
    <row r="33" spans="1:9" x14ac:dyDescent="0.25">
      <c r="A33" s="8">
        <v>31</v>
      </c>
      <c r="B33" s="12" t="s">
        <v>372</v>
      </c>
      <c r="C33" s="12" t="s">
        <v>334</v>
      </c>
      <c r="D33" s="12" t="s">
        <v>230</v>
      </c>
      <c r="E33" s="13" t="s">
        <v>373</v>
      </c>
      <c r="F33" s="13">
        <v>1630</v>
      </c>
      <c r="G33" s="13">
        <v>1998</v>
      </c>
      <c r="H33" s="13" t="s">
        <v>374</v>
      </c>
      <c r="I33" s="13"/>
    </row>
    <row r="34" spans="1:9" x14ac:dyDescent="0.25">
      <c r="A34" s="8">
        <v>32</v>
      </c>
      <c r="B34" s="12" t="s">
        <v>375</v>
      </c>
      <c r="C34" s="12" t="s">
        <v>376</v>
      </c>
      <c r="D34" s="12" t="s">
        <v>230</v>
      </c>
      <c r="E34" s="13" t="s">
        <v>377</v>
      </c>
      <c r="F34" s="13">
        <v>2800</v>
      </c>
      <c r="G34" s="13">
        <v>2002</v>
      </c>
      <c r="H34" s="13" t="s">
        <v>378</v>
      </c>
      <c r="I34" s="13"/>
    </row>
    <row r="35" spans="1:9" x14ac:dyDescent="0.25">
      <c r="A35" s="8">
        <v>33</v>
      </c>
      <c r="B35" s="119" t="s">
        <v>379</v>
      </c>
      <c r="C35" s="11" t="s">
        <v>355</v>
      </c>
      <c r="D35" s="11" t="s">
        <v>230</v>
      </c>
      <c r="E35" s="9" t="s">
        <v>398</v>
      </c>
      <c r="F35" s="9">
        <v>1945</v>
      </c>
      <c r="G35" s="9">
        <v>2014</v>
      </c>
      <c r="H35" s="9" t="s">
        <v>399</v>
      </c>
      <c r="I35" s="9" t="s">
        <v>400</v>
      </c>
    </row>
    <row r="36" spans="1:9" x14ac:dyDescent="0.25">
      <c r="A36" s="8">
        <v>34</v>
      </c>
      <c r="B36" s="185"/>
      <c r="C36" s="12" t="s">
        <v>380</v>
      </c>
      <c r="D36" s="12" t="s">
        <v>312</v>
      </c>
      <c r="E36" s="13" t="s">
        <v>381</v>
      </c>
      <c r="F36" s="13">
        <v>1920</v>
      </c>
      <c r="G36" s="13">
        <v>2000</v>
      </c>
      <c r="H36" s="13" t="s">
        <v>382</v>
      </c>
      <c r="I36" s="13" t="s">
        <v>383</v>
      </c>
    </row>
    <row r="37" spans="1:9" x14ac:dyDescent="0.25">
      <c r="A37" s="8">
        <v>35</v>
      </c>
      <c r="B37" s="2" t="s">
        <v>384</v>
      </c>
      <c r="C37" s="2" t="s">
        <v>385</v>
      </c>
      <c r="D37" s="2" t="s">
        <v>248</v>
      </c>
      <c r="E37" s="6" t="s">
        <v>386</v>
      </c>
      <c r="F37" s="6">
        <v>832</v>
      </c>
      <c r="G37" s="6">
        <v>2012</v>
      </c>
      <c r="H37" s="6" t="s">
        <v>387</v>
      </c>
      <c r="I37" s="6" t="s">
        <v>388</v>
      </c>
    </row>
    <row r="38" spans="1:9" x14ac:dyDescent="0.25">
      <c r="A38" s="8">
        <v>36</v>
      </c>
      <c r="B38" s="2" t="s">
        <v>389</v>
      </c>
      <c r="C38" s="2" t="s">
        <v>316</v>
      </c>
      <c r="D38" s="2" t="s">
        <v>230</v>
      </c>
      <c r="E38" s="6" t="s">
        <v>390</v>
      </c>
      <c r="F38" s="6">
        <v>1955</v>
      </c>
      <c r="G38" s="6">
        <v>2022</v>
      </c>
      <c r="H38" s="6" t="s">
        <v>391</v>
      </c>
      <c r="I38" s="6" t="s">
        <v>392</v>
      </c>
    </row>
    <row r="39" spans="1:9" x14ac:dyDescent="0.25">
      <c r="A39" s="8">
        <v>37</v>
      </c>
      <c r="B39" s="183" t="s">
        <v>393</v>
      </c>
      <c r="C39" s="3" t="s">
        <v>394</v>
      </c>
      <c r="D39" s="2" t="s">
        <v>230</v>
      </c>
      <c r="E39" s="6" t="s">
        <v>395</v>
      </c>
      <c r="F39" s="6">
        <v>1992</v>
      </c>
      <c r="G39" s="6">
        <v>2020</v>
      </c>
      <c r="H39" s="6" t="s">
        <v>396</v>
      </c>
      <c r="I39" s="6" t="s">
        <v>397</v>
      </c>
    </row>
    <row r="40" spans="1:9" x14ac:dyDescent="0.25">
      <c r="A40" s="8">
        <v>38</v>
      </c>
      <c r="B40" s="184"/>
      <c r="C40" s="2" t="s">
        <v>494</v>
      </c>
      <c r="D40" s="2" t="s">
        <v>236</v>
      </c>
      <c r="E40" s="6" t="s">
        <v>495</v>
      </c>
      <c r="F40" s="6">
        <v>1145</v>
      </c>
      <c r="G40" s="6">
        <v>2019</v>
      </c>
      <c r="H40" s="6" t="s">
        <v>496</v>
      </c>
      <c r="I40" s="6" t="s">
        <v>497</v>
      </c>
    </row>
    <row r="41" spans="1:9" x14ac:dyDescent="0.25">
      <c r="A41" s="8">
        <v>39</v>
      </c>
      <c r="B41" s="183" t="s">
        <v>401</v>
      </c>
      <c r="C41" s="2" t="s">
        <v>402</v>
      </c>
      <c r="D41" s="2" t="s">
        <v>224</v>
      </c>
      <c r="E41" s="6" t="s">
        <v>403</v>
      </c>
      <c r="F41" s="6">
        <v>1370</v>
      </c>
      <c r="G41" s="6">
        <v>2014</v>
      </c>
      <c r="H41" s="6" t="s">
        <v>404</v>
      </c>
      <c r="I41" s="6" t="s">
        <v>405</v>
      </c>
    </row>
    <row r="42" spans="1:9" x14ac:dyDescent="0.25">
      <c r="A42" s="8">
        <v>40</v>
      </c>
      <c r="B42" s="184"/>
      <c r="C42" s="2" t="s">
        <v>476</v>
      </c>
      <c r="D42" s="2" t="s">
        <v>230</v>
      </c>
      <c r="E42" s="6" t="s">
        <v>477</v>
      </c>
      <c r="F42" s="6">
        <v>2850</v>
      </c>
      <c r="G42" s="6">
        <v>2006</v>
      </c>
      <c r="H42" s="6" t="s">
        <v>478</v>
      </c>
      <c r="I42" s="6" t="s">
        <v>479</v>
      </c>
    </row>
    <row r="43" spans="1:9" x14ac:dyDescent="0.25">
      <c r="A43" s="8">
        <v>41</v>
      </c>
      <c r="B43" s="2" t="s">
        <v>406</v>
      </c>
      <c r="C43" s="2" t="s">
        <v>407</v>
      </c>
      <c r="D43" s="2" t="s">
        <v>230</v>
      </c>
      <c r="E43" s="6" t="s">
        <v>408</v>
      </c>
      <c r="F43" s="6">
        <v>1982</v>
      </c>
      <c r="G43" s="6">
        <v>2015</v>
      </c>
      <c r="H43" s="6" t="s">
        <v>409</v>
      </c>
      <c r="I43" s="6" t="s">
        <v>410</v>
      </c>
    </row>
    <row r="44" spans="1:9" x14ac:dyDescent="0.25">
      <c r="A44" s="8">
        <v>42</v>
      </c>
      <c r="B44" s="2" t="s">
        <v>411</v>
      </c>
      <c r="C44" s="2" t="s">
        <v>412</v>
      </c>
      <c r="D44" s="2" t="s">
        <v>236</v>
      </c>
      <c r="E44" s="6" t="s">
        <v>413</v>
      </c>
      <c r="F44" s="6">
        <v>1002</v>
      </c>
      <c r="G44" s="6">
        <v>2015</v>
      </c>
      <c r="H44" s="6" t="s">
        <v>414</v>
      </c>
      <c r="I44" s="6" t="s">
        <v>415</v>
      </c>
    </row>
    <row r="45" spans="1:9" x14ac:dyDescent="0.25">
      <c r="A45" s="8">
        <v>43</v>
      </c>
      <c r="B45" s="2" t="s">
        <v>416</v>
      </c>
      <c r="C45" s="2" t="s">
        <v>417</v>
      </c>
      <c r="D45" s="2" t="s">
        <v>224</v>
      </c>
      <c r="E45" s="6" t="s">
        <v>418</v>
      </c>
      <c r="F45" s="6">
        <v>1082</v>
      </c>
      <c r="G45" s="6">
        <v>2008</v>
      </c>
      <c r="H45" s="6" t="s">
        <v>419</v>
      </c>
      <c r="I45" s="6" t="s">
        <v>420</v>
      </c>
    </row>
    <row r="46" spans="1:9" x14ac:dyDescent="0.25">
      <c r="A46" s="8">
        <v>44</v>
      </c>
      <c r="B46" s="2" t="s">
        <v>421</v>
      </c>
      <c r="C46" s="2" t="s">
        <v>422</v>
      </c>
      <c r="D46" s="2" t="s">
        <v>224</v>
      </c>
      <c r="E46" s="6" t="s">
        <v>423</v>
      </c>
      <c r="F46" s="6">
        <v>1051</v>
      </c>
      <c r="G46" s="6">
        <v>1018</v>
      </c>
      <c r="H46" s="6" t="s">
        <v>424</v>
      </c>
      <c r="I46" s="6" t="s">
        <v>425</v>
      </c>
    </row>
    <row r="47" spans="1:9" x14ac:dyDescent="0.25">
      <c r="A47" s="8">
        <v>45</v>
      </c>
      <c r="B47" s="2" t="s">
        <v>426</v>
      </c>
      <c r="C47" s="2" t="s">
        <v>427</v>
      </c>
      <c r="D47" s="2" t="s">
        <v>224</v>
      </c>
      <c r="E47" s="6" t="s">
        <v>428</v>
      </c>
      <c r="F47" s="6">
        <v>1035</v>
      </c>
      <c r="G47" s="6">
        <v>2012</v>
      </c>
      <c r="H47" s="6" t="s">
        <v>429</v>
      </c>
      <c r="I47" s="6" t="s">
        <v>430</v>
      </c>
    </row>
    <row r="48" spans="1:9" x14ac:dyDescent="0.25">
      <c r="A48" s="8">
        <v>46</v>
      </c>
      <c r="B48" s="2" t="s">
        <v>431</v>
      </c>
      <c r="C48" s="2" t="s">
        <v>432</v>
      </c>
      <c r="D48" s="2" t="s">
        <v>236</v>
      </c>
      <c r="E48" s="6" t="s">
        <v>433</v>
      </c>
      <c r="F48" s="6">
        <v>938</v>
      </c>
      <c r="G48" s="6">
        <v>2010</v>
      </c>
      <c r="H48" s="6" t="s">
        <v>434</v>
      </c>
      <c r="I48" s="6" t="s">
        <v>435</v>
      </c>
    </row>
    <row r="49" spans="1:9" x14ac:dyDescent="0.25">
      <c r="A49" s="8">
        <v>47</v>
      </c>
      <c r="B49" s="183" t="s">
        <v>436</v>
      </c>
      <c r="C49" s="2" t="s">
        <v>437</v>
      </c>
      <c r="D49" s="2" t="s">
        <v>264</v>
      </c>
      <c r="E49" s="6" t="s">
        <v>438</v>
      </c>
      <c r="F49" s="6">
        <v>1430</v>
      </c>
      <c r="G49" s="6">
        <v>2021</v>
      </c>
      <c r="H49" s="6" t="s">
        <v>439</v>
      </c>
      <c r="I49" s="6" t="s">
        <v>440</v>
      </c>
    </row>
    <row r="50" spans="1:9" x14ac:dyDescent="0.25">
      <c r="A50" s="8">
        <v>48</v>
      </c>
      <c r="B50" s="186"/>
      <c r="C50" s="2" t="s">
        <v>512</v>
      </c>
      <c r="D50" s="2" t="s">
        <v>513</v>
      </c>
      <c r="E50" s="6" t="s">
        <v>224</v>
      </c>
      <c r="F50" s="6">
        <v>1512</v>
      </c>
      <c r="G50" s="6">
        <v>2017</v>
      </c>
      <c r="H50" s="6" t="s">
        <v>514</v>
      </c>
      <c r="I50" s="6" t="s">
        <v>515</v>
      </c>
    </row>
    <row r="51" spans="1:9" x14ac:dyDescent="0.25">
      <c r="A51" s="8">
        <v>49</v>
      </c>
      <c r="B51" s="184"/>
      <c r="C51" s="2" t="s">
        <v>480</v>
      </c>
      <c r="D51" s="2" t="s">
        <v>236</v>
      </c>
      <c r="E51" s="6" t="s">
        <v>481</v>
      </c>
      <c r="F51" s="6">
        <v>1525</v>
      </c>
      <c r="G51" s="6">
        <v>2007</v>
      </c>
      <c r="H51" s="6" t="s">
        <v>482</v>
      </c>
      <c r="I51" s="6" t="s">
        <v>483</v>
      </c>
    </row>
    <row r="52" spans="1:9" x14ac:dyDescent="0.25">
      <c r="A52" s="8">
        <v>50</v>
      </c>
      <c r="B52" s="187" t="s">
        <v>441</v>
      </c>
      <c r="C52" s="2" t="s">
        <v>442</v>
      </c>
      <c r="D52" s="2" t="s">
        <v>312</v>
      </c>
      <c r="E52" s="6" t="s">
        <v>443</v>
      </c>
      <c r="F52" s="6">
        <v>2070</v>
      </c>
      <c r="G52" s="6">
        <v>2008</v>
      </c>
      <c r="H52" s="6" t="s">
        <v>444</v>
      </c>
      <c r="I52" s="6" t="s">
        <v>445</v>
      </c>
    </row>
    <row r="53" spans="1:9" x14ac:dyDescent="0.25">
      <c r="A53" s="8">
        <v>51</v>
      </c>
      <c r="B53" s="120"/>
      <c r="C53" s="2" t="s">
        <v>484</v>
      </c>
      <c r="D53" s="2" t="s">
        <v>224</v>
      </c>
      <c r="E53" s="6" t="s">
        <v>485</v>
      </c>
      <c r="F53" s="6">
        <v>1130</v>
      </c>
      <c r="G53" s="6">
        <v>2018</v>
      </c>
      <c r="H53" s="6" t="s">
        <v>486</v>
      </c>
      <c r="I53" s="6" t="s">
        <v>487</v>
      </c>
    </row>
    <row r="54" spans="1:9" x14ac:dyDescent="0.25">
      <c r="A54" s="8">
        <v>52</v>
      </c>
      <c r="B54" s="2" t="s">
        <v>446</v>
      </c>
      <c r="C54" s="2" t="s">
        <v>447</v>
      </c>
      <c r="D54" s="2" t="s">
        <v>236</v>
      </c>
      <c r="E54" s="6" t="s">
        <v>451</v>
      </c>
      <c r="F54" s="6">
        <v>1255</v>
      </c>
      <c r="G54" s="6">
        <v>2008</v>
      </c>
      <c r="H54" s="6" t="s">
        <v>448</v>
      </c>
      <c r="I54" s="6" t="s">
        <v>449</v>
      </c>
    </row>
    <row r="55" spans="1:9" x14ac:dyDescent="0.25">
      <c r="A55" s="8">
        <v>53</v>
      </c>
      <c r="B55" s="2" t="s">
        <v>450</v>
      </c>
      <c r="C55" s="2" t="s">
        <v>268</v>
      </c>
      <c r="D55" s="2" t="s">
        <v>236</v>
      </c>
      <c r="E55" s="6" t="s">
        <v>452</v>
      </c>
      <c r="F55" s="6">
        <v>1047</v>
      </c>
      <c r="G55" s="6">
        <v>2017</v>
      </c>
      <c r="H55" s="6" t="s">
        <v>453</v>
      </c>
      <c r="I55" s="6" t="s">
        <v>271</v>
      </c>
    </row>
    <row r="56" spans="1:9" x14ac:dyDescent="0.25">
      <c r="A56" s="8">
        <v>54</v>
      </c>
      <c r="B56" s="2" t="s">
        <v>454</v>
      </c>
      <c r="C56" s="2" t="s">
        <v>455</v>
      </c>
      <c r="D56" s="2" t="s">
        <v>236</v>
      </c>
      <c r="E56" s="6" t="s">
        <v>456</v>
      </c>
      <c r="F56" s="6">
        <v>1140</v>
      </c>
      <c r="G56" s="6">
        <v>2013</v>
      </c>
      <c r="H56" s="6" t="s">
        <v>457</v>
      </c>
      <c r="I56" s="6" t="s">
        <v>458</v>
      </c>
    </row>
    <row r="57" spans="1:9" x14ac:dyDescent="0.25">
      <c r="A57" s="8">
        <v>55</v>
      </c>
      <c r="B57" s="183" t="s">
        <v>459</v>
      </c>
      <c r="C57" s="2" t="s">
        <v>460</v>
      </c>
      <c r="D57" s="2" t="s">
        <v>230</v>
      </c>
      <c r="E57" s="6" t="s">
        <v>461</v>
      </c>
      <c r="F57" s="6">
        <v>990</v>
      </c>
      <c r="G57" s="6">
        <v>2017</v>
      </c>
      <c r="H57" s="6" t="s">
        <v>462</v>
      </c>
      <c r="I57" s="6" t="s">
        <v>463</v>
      </c>
    </row>
    <row r="58" spans="1:9" x14ac:dyDescent="0.25">
      <c r="A58" s="8">
        <v>56</v>
      </c>
      <c r="B58" s="184"/>
      <c r="C58" s="2" t="s">
        <v>355</v>
      </c>
      <c r="D58" s="2" t="s">
        <v>230</v>
      </c>
      <c r="E58" s="6" t="s">
        <v>464</v>
      </c>
      <c r="F58" s="6">
        <v>1910</v>
      </c>
      <c r="G58" s="6">
        <v>2014</v>
      </c>
      <c r="H58" s="6" t="s">
        <v>465</v>
      </c>
      <c r="I58" s="6" t="s">
        <v>466</v>
      </c>
    </row>
    <row r="59" spans="1:9" x14ac:dyDescent="0.25">
      <c r="A59" s="8">
        <v>57</v>
      </c>
      <c r="B59" s="183" t="s">
        <v>467</v>
      </c>
      <c r="C59" s="3" t="s">
        <v>468</v>
      </c>
      <c r="D59" s="2" t="s">
        <v>236</v>
      </c>
      <c r="E59" s="6" t="s">
        <v>469</v>
      </c>
      <c r="F59" s="6">
        <v>1007</v>
      </c>
      <c r="G59" s="6">
        <v>2014</v>
      </c>
      <c r="H59" s="6" t="s">
        <v>470</v>
      </c>
      <c r="I59" s="6" t="s">
        <v>471</v>
      </c>
    </row>
    <row r="60" spans="1:9" x14ac:dyDescent="0.25">
      <c r="A60" s="8">
        <v>58</v>
      </c>
      <c r="B60" s="184"/>
      <c r="C60" s="2" t="s">
        <v>472</v>
      </c>
      <c r="D60" s="2" t="s">
        <v>224</v>
      </c>
      <c r="E60" s="6" t="s">
        <v>473</v>
      </c>
      <c r="F60" s="6">
        <v>1354</v>
      </c>
      <c r="G60" s="6">
        <v>2018</v>
      </c>
      <c r="H60" s="6" t="s">
        <v>474</v>
      </c>
      <c r="I60" s="6" t="s">
        <v>475</v>
      </c>
    </row>
    <row r="61" spans="1:9" x14ac:dyDescent="0.25">
      <c r="A61" s="8">
        <v>59</v>
      </c>
      <c r="B61" s="2" t="s">
        <v>488</v>
      </c>
      <c r="C61" s="2" t="s">
        <v>489</v>
      </c>
      <c r="D61" s="2" t="s">
        <v>490</v>
      </c>
      <c r="E61" s="6" t="s">
        <v>491</v>
      </c>
      <c r="F61" s="6">
        <v>1074</v>
      </c>
      <c r="G61" s="6">
        <v>2006</v>
      </c>
      <c r="H61" s="6" t="s">
        <v>492</v>
      </c>
      <c r="I61" s="6" t="s">
        <v>493</v>
      </c>
    </row>
    <row r="62" spans="1:9" x14ac:dyDescent="0.25">
      <c r="A62" s="8">
        <v>60</v>
      </c>
      <c r="B62" s="183" t="s">
        <v>498</v>
      </c>
      <c r="C62" s="2" t="s">
        <v>531</v>
      </c>
      <c r="D62" s="2" t="s">
        <v>236</v>
      </c>
      <c r="E62" s="6" t="s">
        <v>532</v>
      </c>
      <c r="F62" s="6">
        <v>1115</v>
      </c>
      <c r="G62" s="6">
        <v>2011</v>
      </c>
      <c r="H62" s="6" t="s">
        <v>533</v>
      </c>
      <c r="I62" s="6" t="s">
        <v>534</v>
      </c>
    </row>
    <row r="63" spans="1:9" x14ac:dyDescent="0.25">
      <c r="A63" s="8">
        <v>61</v>
      </c>
      <c r="B63" s="184"/>
      <c r="C63" s="3" t="s">
        <v>385</v>
      </c>
      <c r="D63" s="2" t="s">
        <v>248</v>
      </c>
      <c r="E63" s="6" t="s">
        <v>499</v>
      </c>
      <c r="F63" s="6">
        <v>922</v>
      </c>
      <c r="G63" s="6">
        <v>2008</v>
      </c>
      <c r="H63" s="6" t="s">
        <v>500</v>
      </c>
      <c r="I63" s="6" t="s">
        <v>501</v>
      </c>
    </row>
    <row r="64" spans="1:9" x14ac:dyDescent="0.25">
      <c r="A64" s="8">
        <v>62</v>
      </c>
      <c r="B64" s="183" t="s">
        <v>502</v>
      </c>
      <c r="C64" s="2" t="s">
        <v>355</v>
      </c>
      <c r="D64" s="2" t="s">
        <v>230</v>
      </c>
      <c r="E64" s="6" t="s">
        <v>519</v>
      </c>
      <c r="F64" s="6">
        <v>1945</v>
      </c>
      <c r="G64" s="6">
        <v>2014</v>
      </c>
      <c r="H64" s="6" t="s">
        <v>520</v>
      </c>
      <c r="I64" s="6" t="s">
        <v>521</v>
      </c>
    </row>
    <row r="65" spans="1:9" x14ac:dyDescent="0.25">
      <c r="A65" s="8">
        <v>63</v>
      </c>
      <c r="B65" s="184"/>
      <c r="C65" s="2" t="s">
        <v>503</v>
      </c>
      <c r="D65" s="2" t="s">
        <v>230</v>
      </c>
      <c r="E65" s="6" t="s">
        <v>504</v>
      </c>
      <c r="F65" s="6">
        <v>2090</v>
      </c>
      <c r="G65" s="6">
        <v>2022</v>
      </c>
      <c r="H65" s="6" t="s">
        <v>505</v>
      </c>
      <c r="I65" s="6" t="s">
        <v>506</v>
      </c>
    </row>
    <row r="66" spans="1:9" x14ac:dyDescent="0.25">
      <c r="A66" s="8">
        <v>64</v>
      </c>
      <c r="B66" s="2" t="s">
        <v>507</v>
      </c>
      <c r="C66" s="2" t="s">
        <v>508</v>
      </c>
      <c r="D66" s="2" t="s">
        <v>230</v>
      </c>
      <c r="E66" s="6" t="s">
        <v>509</v>
      </c>
      <c r="F66" s="6">
        <v>2085</v>
      </c>
      <c r="G66" s="6">
        <v>2023</v>
      </c>
      <c r="H66" s="6" t="s">
        <v>510</v>
      </c>
      <c r="I66" s="6" t="s">
        <v>511</v>
      </c>
    </row>
    <row r="67" spans="1:9" x14ac:dyDescent="0.25">
      <c r="A67" s="8">
        <v>65</v>
      </c>
      <c r="B67" s="186" t="s">
        <v>537</v>
      </c>
      <c r="C67" s="2" t="s">
        <v>516</v>
      </c>
      <c r="D67" s="2" t="s">
        <v>224</v>
      </c>
      <c r="E67" s="6" t="s">
        <v>517</v>
      </c>
      <c r="F67" s="6">
        <v>1155</v>
      </c>
      <c r="G67" s="6">
        <v>2024</v>
      </c>
      <c r="H67" s="14" t="s">
        <v>536</v>
      </c>
      <c r="I67" s="6" t="s">
        <v>518</v>
      </c>
    </row>
    <row r="68" spans="1:9" x14ac:dyDescent="0.25">
      <c r="A68" s="8">
        <v>66</v>
      </c>
      <c r="B68" s="184"/>
      <c r="C68" s="2" t="s">
        <v>355</v>
      </c>
      <c r="D68" s="2" t="s">
        <v>230</v>
      </c>
      <c r="E68" s="6" t="s">
        <v>535</v>
      </c>
      <c r="F68" s="6">
        <v>1815</v>
      </c>
      <c r="G68" s="6">
        <v>2005</v>
      </c>
      <c r="H68" s="6" t="s">
        <v>538</v>
      </c>
      <c r="I68" s="6" t="s">
        <v>337</v>
      </c>
    </row>
    <row r="69" spans="1:9" x14ac:dyDescent="0.25">
      <c r="A69" s="8">
        <v>67</v>
      </c>
      <c r="B69" s="2" t="s">
        <v>522</v>
      </c>
      <c r="C69" s="2" t="s">
        <v>523</v>
      </c>
      <c r="D69" s="2" t="s">
        <v>236</v>
      </c>
      <c r="E69" s="6" t="s">
        <v>524</v>
      </c>
      <c r="F69" s="6">
        <v>1384</v>
      </c>
      <c r="G69" s="6">
        <v>2010</v>
      </c>
      <c r="H69" s="6" t="s">
        <v>525</v>
      </c>
      <c r="I69" s="6" t="s">
        <v>526</v>
      </c>
    </row>
    <row r="70" spans="1:9" x14ac:dyDescent="0.25">
      <c r="A70" s="8">
        <v>68</v>
      </c>
      <c r="B70" s="2" t="s">
        <v>527</v>
      </c>
      <c r="C70" s="2" t="s">
        <v>349</v>
      </c>
      <c r="D70" s="2" t="s">
        <v>236</v>
      </c>
      <c r="E70" s="6" t="s">
        <v>528</v>
      </c>
      <c r="F70" s="6">
        <v>1243</v>
      </c>
      <c r="G70" s="6">
        <v>2017</v>
      </c>
      <c r="H70" s="6" t="s">
        <v>529</v>
      </c>
      <c r="I70" s="6" t="s">
        <v>530</v>
      </c>
    </row>
    <row r="71" spans="1:9" x14ac:dyDescent="0.25">
      <c r="A71" s="8">
        <v>69</v>
      </c>
      <c r="B71" s="183" t="s">
        <v>539</v>
      </c>
      <c r="C71" s="2" t="s">
        <v>334</v>
      </c>
      <c r="D71" s="2" t="s">
        <v>230</v>
      </c>
      <c r="E71" s="6" t="s">
        <v>568</v>
      </c>
      <c r="F71" s="6">
        <v>1780</v>
      </c>
      <c r="G71" s="6">
        <v>2010</v>
      </c>
      <c r="H71" s="6" t="s">
        <v>569</v>
      </c>
      <c r="I71" s="6" t="s">
        <v>570</v>
      </c>
    </row>
    <row r="72" spans="1:9" x14ac:dyDescent="0.25">
      <c r="A72" s="8">
        <v>70</v>
      </c>
      <c r="B72" s="186"/>
      <c r="C72" s="2" t="s">
        <v>508</v>
      </c>
      <c r="D72" s="2" t="s">
        <v>230</v>
      </c>
      <c r="E72" s="6" t="s">
        <v>571</v>
      </c>
      <c r="F72" s="6">
        <v>2085</v>
      </c>
      <c r="G72" s="6">
        <v>2022</v>
      </c>
      <c r="H72" s="6" t="s">
        <v>572</v>
      </c>
      <c r="I72" s="6" t="s">
        <v>511</v>
      </c>
    </row>
    <row r="73" spans="1:9" x14ac:dyDescent="0.25">
      <c r="A73" s="8">
        <v>71</v>
      </c>
      <c r="B73" s="184"/>
      <c r="C73" s="2" t="s">
        <v>508</v>
      </c>
      <c r="D73" s="2" t="s">
        <v>230</v>
      </c>
      <c r="E73" s="6" t="s">
        <v>540</v>
      </c>
      <c r="F73" s="6">
        <v>2085</v>
      </c>
      <c r="G73" s="6">
        <v>2022</v>
      </c>
      <c r="H73" s="6" t="s">
        <v>541</v>
      </c>
      <c r="I73" s="6" t="s">
        <v>542</v>
      </c>
    </row>
    <row r="74" spans="1:9" x14ac:dyDescent="0.25">
      <c r="A74" s="8">
        <v>72</v>
      </c>
      <c r="B74" s="183" t="s">
        <v>543</v>
      </c>
      <c r="C74" s="2" t="s">
        <v>544</v>
      </c>
      <c r="D74" s="2" t="s">
        <v>312</v>
      </c>
      <c r="E74" s="6" t="s">
        <v>545</v>
      </c>
      <c r="F74" s="6">
        <v>2175</v>
      </c>
      <c r="G74" s="6">
        <v>2023</v>
      </c>
      <c r="H74" s="6" t="s">
        <v>546</v>
      </c>
      <c r="I74" s="6" t="s">
        <v>547</v>
      </c>
    </row>
    <row r="75" spans="1:9" x14ac:dyDescent="0.25">
      <c r="A75" s="8">
        <v>73</v>
      </c>
      <c r="B75" s="186"/>
      <c r="C75" s="2" t="s">
        <v>556</v>
      </c>
      <c r="D75" s="2" t="s">
        <v>312</v>
      </c>
      <c r="E75" s="6" t="s">
        <v>557</v>
      </c>
      <c r="F75" s="6">
        <v>2155</v>
      </c>
      <c r="G75" s="6">
        <v>2016</v>
      </c>
      <c r="H75" s="6" t="s">
        <v>558</v>
      </c>
      <c r="I75" s="6" t="s">
        <v>559</v>
      </c>
    </row>
    <row r="76" spans="1:9" x14ac:dyDescent="0.25">
      <c r="A76" s="8">
        <v>74</v>
      </c>
      <c r="B76" s="184"/>
      <c r="C76" s="2" t="s">
        <v>548</v>
      </c>
      <c r="D76" s="2" t="s">
        <v>549</v>
      </c>
      <c r="E76" s="6" t="s">
        <v>550</v>
      </c>
      <c r="F76" s="6">
        <v>3500</v>
      </c>
      <c r="G76" s="6">
        <v>2019</v>
      </c>
      <c r="H76" s="6" t="s">
        <v>551</v>
      </c>
      <c r="I76" s="6" t="s">
        <v>552</v>
      </c>
    </row>
    <row r="77" spans="1:9" x14ac:dyDescent="0.25">
      <c r="A77" s="8">
        <v>75</v>
      </c>
      <c r="B77" s="183" t="s">
        <v>553</v>
      </c>
      <c r="C77" s="2" t="s">
        <v>334</v>
      </c>
      <c r="D77" s="2" t="s">
        <v>230</v>
      </c>
      <c r="E77" s="6" t="s">
        <v>565</v>
      </c>
      <c r="F77" s="6">
        <v>1840</v>
      </c>
      <c r="G77" s="6">
        <v>2006</v>
      </c>
      <c r="H77" s="6" t="s">
        <v>566</v>
      </c>
      <c r="I77" s="6" t="s">
        <v>567</v>
      </c>
    </row>
    <row r="78" spans="1:9" x14ac:dyDescent="0.25">
      <c r="A78" s="8">
        <v>76</v>
      </c>
      <c r="B78" s="186"/>
      <c r="C78" s="2" t="s">
        <v>580</v>
      </c>
      <c r="D78" s="2" t="s">
        <v>230</v>
      </c>
      <c r="E78" s="6" t="s">
        <v>581</v>
      </c>
      <c r="F78" s="6">
        <v>2910</v>
      </c>
      <c r="G78" s="6">
        <v>2020</v>
      </c>
      <c r="H78" s="6" t="s">
        <v>583</v>
      </c>
      <c r="I78" s="6" t="s">
        <v>584</v>
      </c>
    </row>
    <row r="79" spans="1:9" x14ac:dyDescent="0.25">
      <c r="A79" s="8">
        <v>77</v>
      </c>
      <c r="B79" s="184"/>
      <c r="C79" s="2" t="s">
        <v>334</v>
      </c>
      <c r="D79" s="2" t="s">
        <v>230</v>
      </c>
      <c r="E79" s="6" t="s">
        <v>554</v>
      </c>
      <c r="F79" s="6">
        <v>2095</v>
      </c>
      <c r="G79" s="6">
        <v>2020</v>
      </c>
      <c r="H79" s="6" t="s">
        <v>555</v>
      </c>
      <c r="I79" s="6" t="s">
        <v>367</v>
      </c>
    </row>
    <row r="80" spans="1:9" x14ac:dyDescent="0.25">
      <c r="A80" s="8">
        <v>78</v>
      </c>
      <c r="B80" s="2" t="s">
        <v>560</v>
      </c>
      <c r="C80" s="3" t="s">
        <v>561</v>
      </c>
      <c r="D80" s="2" t="s">
        <v>230</v>
      </c>
      <c r="E80" s="6" t="s">
        <v>562</v>
      </c>
      <c r="F80" s="6">
        <v>2720</v>
      </c>
      <c r="G80" s="6">
        <v>2008</v>
      </c>
      <c r="H80" s="6" t="s">
        <v>563</v>
      </c>
      <c r="I80" s="6" t="s">
        <v>564</v>
      </c>
    </row>
    <row r="81" spans="1:9" x14ac:dyDescent="0.25">
      <c r="A81" s="8">
        <v>79</v>
      </c>
      <c r="B81" s="183" t="s">
        <v>573</v>
      </c>
      <c r="C81" s="2" t="s">
        <v>574</v>
      </c>
      <c r="D81" s="2" t="s">
        <v>236</v>
      </c>
      <c r="E81" s="6" t="s">
        <v>575</v>
      </c>
      <c r="F81" s="6">
        <v>981</v>
      </c>
      <c r="G81" s="6">
        <v>2010</v>
      </c>
      <c r="H81" s="6" t="s">
        <v>576</v>
      </c>
      <c r="I81" s="6" t="s">
        <v>577</v>
      </c>
    </row>
    <row r="82" spans="1:9" x14ac:dyDescent="0.25">
      <c r="A82" s="8">
        <v>80</v>
      </c>
      <c r="B82" s="184"/>
      <c r="C82" s="2" t="s">
        <v>516</v>
      </c>
      <c r="D82" s="2" t="s">
        <v>224</v>
      </c>
      <c r="E82" s="6" t="s">
        <v>578</v>
      </c>
      <c r="F82" s="6">
        <v>1136</v>
      </c>
      <c r="G82" s="6">
        <v>2019</v>
      </c>
      <c r="H82" s="6" t="s">
        <v>582</v>
      </c>
      <c r="I82" s="6" t="s">
        <v>579</v>
      </c>
    </row>
    <row r="83" spans="1:9" x14ac:dyDescent="0.25">
      <c r="A83" s="8">
        <v>81</v>
      </c>
      <c r="B83" s="2" t="s">
        <v>585</v>
      </c>
      <c r="C83" s="2" t="s">
        <v>586</v>
      </c>
      <c r="D83" s="2" t="s">
        <v>236</v>
      </c>
      <c r="E83" s="6" t="s">
        <v>587</v>
      </c>
      <c r="F83" s="6">
        <v>1040</v>
      </c>
      <c r="G83" s="6">
        <v>2008</v>
      </c>
      <c r="H83" s="6" t="s">
        <v>588</v>
      </c>
      <c r="I83" s="6" t="s">
        <v>589</v>
      </c>
    </row>
    <row r="84" spans="1:9" x14ac:dyDescent="0.25">
      <c r="A84" s="8">
        <v>82</v>
      </c>
      <c r="B84" s="2" t="s">
        <v>590</v>
      </c>
      <c r="C84" s="2" t="s">
        <v>591</v>
      </c>
      <c r="D84" s="2" t="s">
        <v>592</v>
      </c>
      <c r="E84" s="6" t="s">
        <v>594</v>
      </c>
      <c r="F84" s="6" t="s">
        <v>593</v>
      </c>
      <c r="G84" s="6">
        <v>2014</v>
      </c>
      <c r="H84" s="6" t="s">
        <v>595</v>
      </c>
      <c r="I84" s="6" t="s">
        <v>596</v>
      </c>
    </row>
    <row r="85" spans="1:9" x14ac:dyDescent="0.25">
      <c r="A85" s="8">
        <v>83</v>
      </c>
      <c r="B85" s="2" t="s">
        <v>597</v>
      </c>
      <c r="C85" s="2" t="s">
        <v>598</v>
      </c>
      <c r="D85" s="2" t="s">
        <v>236</v>
      </c>
      <c r="E85" s="6" t="s">
        <v>599</v>
      </c>
      <c r="F85" s="6">
        <v>1018</v>
      </c>
      <c r="G85" s="6">
        <v>2017</v>
      </c>
      <c r="H85" s="6" t="s">
        <v>600</v>
      </c>
      <c r="I85" s="6" t="s">
        <v>601</v>
      </c>
    </row>
    <row r="86" spans="1:9" x14ac:dyDescent="0.25">
      <c r="A86" s="8">
        <v>84</v>
      </c>
      <c r="B86" s="183" t="s">
        <v>602</v>
      </c>
      <c r="C86" s="2" t="s">
        <v>422</v>
      </c>
      <c r="D86" s="2" t="s">
        <v>236</v>
      </c>
      <c r="E86" s="6" t="s">
        <v>638</v>
      </c>
      <c r="F86" s="6">
        <v>1051</v>
      </c>
      <c r="G86" s="6">
        <v>2016</v>
      </c>
      <c r="H86" s="6" t="s">
        <v>639</v>
      </c>
      <c r="I86" s="6" t="s">
        <v>640</v>
      </c>
    </row>
    <row r="87" spans="1:9" x14ac:dyDescent="0.25">
      <c r="A87" s="8">
        <v>85</v>
      </c>
      <c r="B87" s="184"/>
      <c r="C87" s="2" t="s">
        <v>432</v>
      </c>
      <c r="D87" s="2" t="s">
        <v>236</v>
      </c>
      <c r="E87" s="6" t="s">
        <v>603</v>
      </c>
      <c r="F87" s="6">
        <v>980</v>
      </c>
      <c r="G87" s="6">
        <v>2013</v>
      </c>
      <c r="H87" s="6" t="s">
        <v>604</v>
      </c>
      <c r="I87" s="6" t="s">
        <v>605</v>
      </c>
    </row>
    <row r="88" spans="1:9" x14ac:dyDescent="0.25">
      <c r="A88" s="8">
        <v>86</v>
      </c>
      <c r="B88" s="2" t="s">
        <v>606</v>
      </c>
      <c r="C88" s="2" t="s">
        <v>610</v>
      </c>
      <c r="D88" s="2" t="s">
        <v>230</v>
      </c>
      <c r="E88" s="6" t="s">
        <v>607</v>
      </c>
      <c r="F88" s="6">
        <v>2095</v>
      </c>
      <c r="G88" s="6">
        <v>2017</v>
      </c>
      <c r="H88" s="6" t="s">
        <v>608</v>
      </c>
      <c r="I88" s="6" t="s">
        <v>609</v>
      </c>
    </row>
    <row r="89" spans="1:9" x14ac:dyDescent="0.25">
      <c r="A89" s="8">
        <v>87</v>
      </c>
      <c r="B89" s="2" t="s">
        <v>611</v>
      </c>
      <c r="C89" s="2" t="s">
        <v>612</v>
      </c>
      <c r="D89" s="2" t="s">
        <v>236</v>
      </c>
      <c r="E89" s="6" t="s">
        <v>613</v>
      </c>
      <c r="F89" s="6">
        <v>1151</v>
      </c>
      <c r="G89" s="6">
        <v>2019</v>
      </c>
      <c r="H89" s="6" t="s">
        <v>614</v>
      </c>
      <c r="I89" s="6" t="s">
        <v>615</v>
      </c>
    </row>
    <row r="90" spans="1:9" x14ac:dyDescent="0.25">
      <c r="A90" s="8">
        <v>88</v>
      </c>
      <c r="B90" s="2" t="s">
        <v>616</v>
      </c>
      <c r="C90" s="2" t="s">
        <v>334</v>
      </c>
      <c r="D90" s="2" t="s">
        <v>230</v>
      </c>
      <c r="E90" s="6" t="s">
        <v>617</v>
      </c>
      <c r="F90" s="6">
        <v>1820</v>
      </c>
      <c r="G90" s="6">
        <v>2006</v>
      </c>
      <c r="H90" s="6" t="s">
        <v>618</v>
      </c>
      <c r="I90" s="6" t="s">
        <v>619</v>
      </c>
    </row>
    <row r="91" spans="1:9" x14ac:dyDescent="0.25">
      <c r="A91" s="8">
        <v>89</v>
      </c>
      <c r="B91" s="183" t="s">
        <v>620</v>
      </c>
      <c r="C91" s="2" t="s">
        <v>629</v>
      </c>
      <c r="D91" s="2" t="s">
        <v>230</v>
      </c>
      <c r="E91" s="6" t="s">
        <v>630</v>
      </c>
      <c r="F91" s="6">
        <v>2053</v>
      </c>
      <c r="G91" s="6">
        <v>2022</v>
      </c>
      <c r="H91" s="6" t="s">
        <v>631</v>
      </c>
      <c r="I91" s="6" t="s">
        <v>632</v>
      </c>
    </row>
    <row r="92" spans="1:9" x14ac:dyDescent="0.25">
      <c r="A92" s="8">
        <v>90</v>
      </c>
      <c r="B92" s="184"/>
      <c r="C92" s="2" t="s">
        <v>621</v>
      </c>
      <c r="D92" s="2" t="s">
        <v>230</v>
      </c>
      <c r="E92" s="6" t="s">
        <v>622</v>
      </c>
      <c r="F92" s="6">
        <v>2123</v>
      </c>
      <c r="G92" s="6">
        <v>2017</v>
      </c>
      <c r="H92" s="6" t="s">
        <v>623</v>
      </c>
      <c r="I92" s="6" t="s">
        <v>624</v>
      </c>
    </row>
    <row r="93" spans="1:9" x14ac:dyDescent="0.25">
      <c r="A93" s="8">
        <v>91</v>
      </c>
      <c r="B93" s="2" t="s">
        <v>625</v>
      </c>
      <c r="C93" s="2" t="s">
        <v>432</v>
      </c>
      <c r="D93" s="2" t="s">
        <v>248</v>
      </c>
      <c r="E93" s="6" t="s">
        <v>626</v>
      </c>
      <c r="F93" s="6">
        <v>1025</v>
      </c>
      <c r="G93" s="4">
        <v>2002</v>
      </c>
      <c r="H93" s="6" t="s">
        <v>627</v>
      </c>
      <c r="I93" s="6" t="s">
        <v>628</v>
      </c>
    </row>
    <row r="94" spans="1:9" x14ac:dyDescent="0.25">
      <c r="A94" s="8">
        <v>92</v>
      </c>
      <c r="B94" s="2" t="s">
        <v>633</v>
      </c>
      <c r="C94" s="2" t="s">
        <v>634</v>
      </c>
      <c r="D94" s="2" t="s">
        <v>236</v>
      </c>
      <c r="E94" s="6" t="s">
        <v>635</v>
      </c>
      <c r="F94" s="6">
        <v>1004</v>
      </c>
      <c r="G94" s="6">
        <v>2018</v>
      </c>
      <c r="H94" s="6" t="s">
        <v>636</v>
      </c>
      <c r="I94" s="6" t="s">
        <v>637</v>
      </c>
    </row>
    <row r="95" spans="1:9" x14ac:dyDescent="0.25">
      <c r="A95" s="8">
        <v>93</v>
      </c>
      <c r="B95" s="2" t="s">
        <v>641</v>
      </c>
      <c r="C95" s="2" t="s">
        <v>642</v>
      </c>
      <c r="D95" s="16" t="s">
        <v>248</v>
      </c>
      <c r="E95" s="6" t="s">
        <v>642</v>
      </c>
      <c r="F95" s="6">
        <v>932</v>
      </c>
      <c r="G95" s="6">
        <v>2011</v>
      </c>
      <c r="H95" s="6" t="s">
        <v>643</v>
      </c>
      <c r="I95" s="6" t="s">
        <v>388</v>
      </c>
    </row>
    <row r="96" spans="1:9" x14ac:dyDescent="0.25">
      <c r="A96" s="8">
        <v>94</v>
      </c>
      <c r="B96" s="2"/>
      <c r="C96" s="2"/>
      <c r="D96" s="2"/>
      <c r="E96" s="6"/>
      <c r="F96" s="6"/>
      <c r="G96" s="6"/>
      <c r="H96" s="6"/>
      <c r="I96" s="6"/>
    </row>
    <row r="97" spans="1:9" x14ac:dyDescent="0.25">
      <c r="A97" s="8">
        <v>95</v>
      </c>
      <c r="B97" s="2"/>
      <c r="C97" s="2"/>
      <c r="D97" s="2"/>
      <c r="E97" s="6"/>
      <c r="F97" s="6"/>
      <c r="G97" s="6"/>
      <c r="H97" s="6"/>
      <c r="I97" s="6"/>
    </row>
    <row r="98" spans="1:9" x14ac:dyDescent="0.25">
      <c r="A98" s="8">
        <v>96</v>
      </c>
      <c r="B98" s="2"/>
      <c r="C98" s="2"/>
      <c r="D98" s="2"/>
      <c r="E98" s="6"/>
      <c r="F98" s="6"/>
      <c r="G98" s="6"/>
      <c r="H98" s="6"/>
      <c r="I98" s="6"/>
    </row>
    <row r="99" spans="1:9" x14ac:dyDescent="0.25">
      <c r="A99" s="8">
        <v>97</v>
      </c>
      <c r="B99" s="2"/>
      <c r="C99" s="2"/>
      <c r="D99" s="2"/>
      <c r="E99" s="6"/>
      <c r="F99" s="6"/>
      <c r="G99" s="6"/>
      <c r="H99" s="6"/>
      <c r="I99" s="6"/>
    </row>
    <row r="100" spans="1:9" x14ac:dyDescent="0.25">
      <c r="A100" s="8">
        <v>98</v>
      </c>
      <c r="B100" s="2"/>
      <c r="C100" s="2"/>
      <c r="D100" s="2"/>
      <c r="E100" s="6"/>
      <c r="F100" s="6"/>
      <c r="G100" s="6"/>
      <c r="H100" s="6"/>
      <c r="I100" s="6"/>
    </row>
    <row r="101" spans="1:9" x14ac:dyDescent="0.25">
      <c r="A101" s="8">
        <v>99</v>
      </c>
      <c r="B101" s="2"/>
      <c r="C101" s="2"/>
      <c r="D101" s="2"/>
      <c r="E101" s="6"/>
      <c r="F101" s="6"/>
      <c r="G101" s="6"/>
      <c r="H101" s="6"/>
      <c r="I101" s="6"/>
    </row>
    <row r="102" spans="1:9" x14ac:dyDescent="0.25">
      <c r="A102" s="8">
        <v>100</v>
      </c>
      <c r="B102" s="2"/>
      <c r="C102" s="2"/>
      <c r="D102" s="2"/>
      <c r="E102" s="6"/>
      <c r="F102" s="6"/>
      <c r="G102" s="6"/>
      <c r="H102" s="6"/>
      <c r="I102" s="6"/>
    </row>
    <row r="103" spans="1:9" x14ac:dyDescent="0.25">
      <c r="A103" s="8">
        <v>101</v>
      </c>
      <c r="B103" s="2"/>
      <c r="C103" s="2"/>
      <c r="D103" s="2"/>
      <c r="E103" s="6"/>
      <c r="F103" s="6"/>
      <c r="G103" s="6"/>
      <c r="H103" s="6"/>
      <c r="I103" s="6"/>
    </row>
    <row r="104" spans="1:9" x14ac:dyDescent="0.25">
      <c r="A104" s="8">
        <v>102</v>
      </c>
      <c r="B104" s="2"/>
      <c r="C104" s="2"/>
      <c r="D104" s="2"/>
      <c r="E104" s="6"/>
      <c r="F104" s="6"/>
      <c r="G104" s="6"/>
      <c r="H104" s="6"/>
      <c r="I104" s="6"/>
    </row>
    <row r="105" spans="1:9" x14ac:dyDescent="0.25">
      <c r="A105" s="8">
        <v>103</v>
      </c>
      <c r="B105" s="2"/>
      <c r="C105" s="2"/>
      <c r="D105" s="2"/>
      <c r="E105" s="6"/>
      <c r="F105" s="6"/>
      <c r="G105" s="6"/>
      <c r="H105" s="6"/>
      <c r="I105" s="6"/>
    </row>
    <row r="106" spans="1:9" x14ac:dyDescent="0.25">
      <c r="A106" s="8">
        <v>104</v>
      </c>
      <c r="B106" s="2"/>
      <c r="C106" s="2"/>
      <c r="D106" s="2"/>
      <c r="E106" s="6"/>
      <c r="F106" s="6"/>
      <c r="G106" s="6"/>
      <c r="H106" s="6"/>
      <c r="I106" s="6"/>
    </row>
    <row r="107" spans="1:9" x14ac:dyDescent="0.25">
      <c r="A107" s="8">
        <v>105</v>
      </c>
      <c r="B107" s="2"/>
      <c r="C107" s="2"/>
      <c r="D107" s="2"/>
      <c r="E107" s="6"/>
      <c r="F107" s="6"/>
      <c r="G107" s="6"/>
      <c r="H107" s="6"/>
      <c r="I107" s="6"/>
    </row>
    <row r="108" spans="1:9" x14ac:dyDescent="0.25">
      <c r="A108" s="8">
        <v>106</v>
      </c>
      <c r="B108" s="2"/>
      <c r="C108" s="2"/>
      <c r="D108" s="2"/>
      <c r="E108" s="6"/>
      <c r="F108" s="6"/>
      <c r="G108" s="6"/>
      <c r="H108" s="6"/>
      <c r="I108" s="6"/>
    </row>
    <row r="109" spans="1:9" x14ac:dyDescent="0.25">
      <c r="A109" s="8">
        <v>107</v>
      </c>
      <c r="B109" s="2"/>
      <c r="C109" s="2"/>
      <c r="D109" s="2"/>
      <c r="E109" s="6"/>
      <c r="F109" s="6"/>
      <c r="G109" s="6"/>
      <c r="H109" s="6"/>
      <c r="I109" s="6"/>
    </row>
    <row r="110" spans="1:9" x14ac:dyDescent="0.25">
      <c r="A110" s="8">
        <v>108</v>
      </c>
      <c r="B110" s="2"/>
      <c r="C110" s="2"/>
      <c r="D110" s="2"/>
      <c r="E110" s="6"/>
      <c r="F110" s="6"/>
      <c r="G110" s="6"/>
      <c r="H110" s="6"/>
      <c r="I110" s="6"/>
    </row>
    <row r="111" spans="1:9" x14ac:dyDescent="0.25">
      <c r="A111" s="8">
        <v>109</v>
      </c>
      <c r="B111" s="2"/>
      <c r="C111" s="2"/>
      <c r="D111" s="2"/>
      <c r="E111" s="6"/>
      <c r="F111" s="6"/>
      <c r="G111" s="6"/>
      <c r="H111" s="6"/>
      <c r="I111" s="6"/>
    </row>
    <row r="112" spans="1:9" x14ac:dyDescent="0.25">
      <c r="A112" s="8">
        <v>110</v>
      </c>
      <c r="B112" s="2"/>
      <c r="C112" s="2"/>
      <c r="D112" s="2"/>
      <c r="E112" s="6"/>
      <c r="F112" s="6"/>
      <c r="G112" s="6"/>
      <c r="H112" s="6"/>
      <c r="I112" s="6"/>
    </row>
    <row r="113" spans="1:9" x14ac:dyDescent="0.25">
      <c r="A113" s="8">
        <v>111</v>
      </c>
      <c r="B113" s="2"/>
      <c r="C113" s="2"/>
      <c r="D113" s="2"/>
      <c r="E113" s="6"/>
      <c r="F113" s="6"/>
      <c r="G113" s="6"/>
      <c r="H113" s="6"/>
      <c r="I113" s="6"/>
    </row>
    <row r="114" spans="1:9" x14ac:dyDescent="0.25">
      <c r="A114" s="8">
        <v>112</v>
      </c>
      <c r="B114" s="2"/>
      <c r="C114" s="2"/>
      <c r="D114" s="2"/>
      <c r="E114" s="6"/>
      <c r="F114" s="6"/>
      <c r="G114" s="6"/>
      <c r="H114" s="6"/>
      <c r="I114" s="6"/>
    </row>
    <row r="115" spans="1:9" x14ac:dyDescent="0.25">
      <c r="A115" s="8">
        <v>113</v>
      </c>
      <c r="B115" s="2"/>
      <c r="C115" s="2"/>
      <c r="D115" s="2"/>
      <c r="E115" s="6"/>
      <c r="F115" s="6"/>
      <c r="G115" s="6"/>
      <c r="H115" s="6"/>
      <c r="I115" s="6"/>
    </row>
    <row r="116" spans="1:9" x14ac:dyDescent="0.25">
      <c r="A116" s="8">
        <v>114</v>
      </c>
      <c r="B116" s="2"/>
      <c r="C116" s="2"/>
      <c r="D116" s="2"/>
      <c r="E116" s="6"/>
      <c r="F116" s="6"/>
      <c r="G116" s="6"/>
      <c r="H116" s="6"/>
      <c r="I116" s="6"/>
    </row>
    <row r="117" spans="1:9" x14ac:dyDescent="0.25">
      <c r="A117" s="8">
        <v>115</v>
      </c>
      <c r="B117" s="2"/>
      <c r="C117" s="2"/>
      <c r="D117" s="2"/>
      <c r="E117" s="6"/>
      <c r="F117" s="6"/>
      <c r="G117" s="6"/>
      <c r="H117" s="6"/>
      <c r="I117" s="6"/>
    </row>
    <row r="118" spans="1:9" x14ac:dyDescent="0.25">
      <c r="A118" s="8">
        <v>116</v>
      </c>
      <c r="B118" s="2"/>
      <c r="C118" s="2"/>
      <c r="D118" s="2"/>
      <c r="E118" s="6"/>
      <c r="F118" s="6"/>
      <c r="G118" s="6"/>
      <c r="H118" s="6"/>
      <c r="I118" s="6"/>
    </row>
    <row r="119" spans="1:9" x14ac:dyDescent="0.25">
      <c r="A119" s="8">
        <v>117</v>
      </c>
      <c r="B119" s="2"/>
      <c r="C119" s="2"/>
      <c r="D119" s="2"/>
      <c r="E119" s="6"/>
      <c r="F119" s="6"/>
      <c r="G119" s="6"/>
      <c r="H119" s="6"/>
      <c r="I119" s="6"/>
    </row>
    <row r="120" spans="1:9" x14ac:dyDescent="0.25">
      <c r="A120" s="8">
        <v>118</v>
      </c>
      <c r="B120" s="2"/>
      <c r="C120" s="2"/>
      <c r="D120" s="2"/>
      <c r="E120" s="6"/>
      <c r="F120" s="6"/>
      <c r="G120" s="6"/>
      <c r="H120" s="6"/>
      <c r="I120" s="6"/>
    </row>
    <row r="121" spans="1:9" x14ac:dyDescent="0.25">
      <c r="A121" s="8">
        <v>119</v>
      </c>
      <c r="B121" s="2"/>
      <c r="C121" s="2"/>
      <c r="D121" s="2"/>
      <c r="E121" s="6"/>
      <c r="F121" s="6"/>
      <c r="G121" s="6"/>
      <c r="H121" s="6"/>
      <c r="I121" s="6"/>
    </row>
    <row r="122" spans="1:9" x14ac:dyDescent="0.25">
      <c r="A122" s="8">
        <v>120</v>
      </c>
      <c r="B122" s="2"/>
      <c r="C122" s="2"/>
      <c r="D122" s="2"/>
      <c r="E122" s="6"/>
      <c r="F122" s="6"/>
      <c r="G122" s="6"/>
      <c r="H122" s="6"/>
      <c r="I122" s="6"/>
    </row>
    <row r="123" spans="1:9" x14ac:dyDescent="0.25">
      <c r="A123" s="8">
        <v>121</v>
      </c>
      <c r="B123" s="2"/>
      <c r="C123" s="2"/>
      <c r="D123" s="2"/>
      <c r="E123" s="6"/>
      <c r="F123" s="6"/>
      <c r="G123" s="6"/>
      <c r="H123" s="6"/>
      <c r="I123" s="6"/>
    </row>
    <row r="124" spans="1:9" x14ac:dyDescent="0.25">
      <c r="A124" s="8">
        <v>122</v>
      </c>
      <c r="B124" s="2"/>
      <c r="C124" s="2"/>
      <c r="D124" s="2"/>
      <c r="E124" s="6"/>
      <c r="F124" s="6"/>
      <c r="G124" s="6"/>
      <c r="H124" s="6"/>
      <c r="I124" s="6"/>
    </row>
    <row r="125" spans="1:9" x14ac:dyDescent="0.25">
      <c r="A125" s="8">
        <v>123</v>
      </c>
      <c r="B125" s="2"/>
      <c r="C125" s="2"/>
      <c r="D125" s="2"/>
      <c r="E125" s="6"/>
      <c r="F125" s="6"/>
      <c r="G125" s="6"/>
      <c r="H125" s="6"/>
      <c r="I125" s="6"/>
    </row>
    <row r="126" spans="1:9" x14ac:dyDescent="0.25">
      <c r="A126" s="8">
        <v>124</v>
      </c>
      <c r="B126" s="2"/>
      <c r="C126" s="2"/>
      <c r="D126" s="2"/>
      <c r="E126" s="6"/>
      <c r="F126" s="6"/>
      <c r="G126" s="6"/>
      <c r="H126" s="6"/>
      <c r="I126" s="6"/>
    </row>
    <row r="127" spans="1:9" x14ac:dyDescent="0.25">
      <c r="A127" s="8">
        <v>125</v>
      </c>
      <c r="B127" s="2"/>
      <c r="C127" s="2"/>
      <c r="D127" s="2"/>
      <c r="E127" s="6"/>
      <c r="F127" s="6"/>
      <c r="G127" s="6"/>
      <c r="H127" s="6"/>
      <c r="I127" s="6"/>
    </row>
    <row r="128" spans="1:9" x14ac:dyDescent="0.25">
      <c r="A128" s="8">
        <v>126</v>
      </c>
      <c r="B128" s="2"/>
      <c r="C128" s="2"/>
      <c r="D128" s="2"/>
      <c r="E128" s="6"/>
      <c r="F128" s="6"/>
      <c r="G128" s="6"/>
      <c r="H128" s="6"/>
      <c r="I128" s="6"/>
    </row>
    <row r="129" spans="1:9" x14ac:dyDescent="0.25">
      <c r="A129" s="8">
        <v>127</v>
      </c>
      <c r="B129" s="2"/>
      <c r="C129" s="2"/>
      <c r="D129" s="2"/>
      <c r="E129" s="6"/>
      <c r="F129" s="6"/>
      <c r="G129" s="6"/>
      <c r="H129" s="6"/>
      <c r="I129" s="6"/>
    </row>
    <row r="130" spans="1:9" x14ac:dyDescent="0.25">
      <c r="A130" s="8">
        <v>128</v>
      </c>
      <c r="B130" s="2"/>
      <c r="C130" s="2"/>
      <c r="D130" s="2"/>
      <c r="E130" s="6"/>
      <c r="F130" s="6"/>
      <c r="G130" s="6"/>
      <c r="H130" s="6"/>
      <c r="I130" s="6"/>
    </row>
    <row r="131" spans="1:9" x14ac:dyDescent="0.25">
      <c r="A131" s="8">
        <v>129</v>
      </c>
      <c r="B131" s="2"/>
      <c r="C131" s="2"/>
      <c r="D131" s="2"/>
      <c r="E131" s="6"/>
      <c r="F131" s="6"/>
      <c r="G131" s="6"/>
      <c r="H131" s="6"/>
      <c r="I131" s="6"/>
    </row>
    <row r="132" spans="1:9" x14ac:dyDescent="0.25">
      <c r="A132" s="8">
        <v>130</v>
      </c>
      <c r="B132" s="2"/>
      <c r="C132" s="2"/>
      <c r="D132" s="2"/>
      <c r="E132" s="6"/>
      <c r="F132" s="6"/>
      <c r="G132" s="6"/>
      <c r="H132" s="6"/>
      <c r="I132" s="6"/>
    </row>
    <row r="133" spans="1:9" x14ac:dyDescent="0.25">
      <c r="A133" s="8">
        <v>131</v>
      </c>
      <c r="B133" s="2"/>
      <c r="C133" s="2"/>
      <c r="D133" s="2"/>
      <c r="E133" s="6"/>
      <c r="F133" s="6"/>
      <c r="G133" s="6"/>
      <c r="H133" s="6"/>
      <c r="I133" s="6"/>
    </row>
    <row r="134" spans="1:9" x14ac:dyDescent="0.25">
      <c r="A134" s="8">
        <v>132</v>
      </c>
      <c r="B134" s="2"/>
      <c r="C134" s="2"/>
      <c r="D134" s="2"/>
      <c r="E134" s="6"/>
      <c r="F134" s="6"/>
      <c r="G134" s="6"/>
      <c r="H134" s="6"/>
      <c r="I134" s="6"/>
    </row>
    <row r="135" spans="1:9" x14ac:dyDescent="0.25">
      <c r="A135" s="8">
        <v>133</v>
      </c>
      <c r="B135" s="2"/>
      <c r="C135" s="2"/>
      <c r="D135" s="2"/>
      <c r="E135" s="6"/>
      <c r="F135" s="6"/>
      <c r="G135" s="6"/>
      <c r="H135" s="6"/>
      <c r="I135" s="6"/>
    </row>
    <row r="136" spans="1:9" x14ac:dyDescent="0.25">
      <c r="A136" s="8">
        <v>134</v>
      </c>
      <c r="B136" s="2"/>
      <c r="C136" s="2"/>
      <c r="D136" s="2"/>
      <c r="E136" s="6"/>
      <c r="F136" s="6"/>
      <c r="G136" s="6"/>
      <c r="H136" s="6"/>
      <c r="I136" s="6"/>
    </row>
    <row r="137" spans="1:9" x14ac:dyDescent="0.25">
      <c r="A137" s="8">
        <v>135</v>
      </c>
      <c r="B137" s="2"/>
      <c r="C137" s="2"/>
      <c r="D137" s="2"/>
      <c r="E137" s="6"/>
      <c r="F137" s="6"/>
      <c r="G137" s="6"/>
      <c r="H137" s="6"/>
      <c r="I137" s="6"/>
    </row>
    <row r="138" spans="1:9" x14ac:dyDescent="0.25">
      <c r="A138" s="8">
        <v>136</v>
      </c>
      <c r="B138" s="2"/>
      <c r="C138" s="2"/>
      <c r="D138" s="2"/>
      <c r="E138" s="6"/>
      <c r="F138" s="6"/>
      <c r="G138" s="6"/>
      <c r="H138" s="6"/>
      <c r="I138" s="6"/>
    </row>
    <row r="139" spans="1:9" x14ac:dyDescent="0.25">
      <c r="A139" s="8">
        <v>137</v>
      </c>
      <c r="B139" s="2"/>
      <c r="C139" s="2"/>
      <c r="D139" s="2"/>
      <c r="E139" s="6"/>
      <c r="F139" s="6"/>
      <c r="G139" s="6"/>
      <c r="H139" s="6"/>
      <c r="I139" s="6"/>
    </row>
    <row r="140" spans="1:9" x14ac:dyDescent="0.25">
      <c r="A140" s="8">
        <v>138</v>
      </c>
      <c r="B140" s="2"/>
      <c r="C140" s="2"/>
      <c r="D140" s="2"/>
      <c r="E140" s="6"/>
      <c r="F140" s="6"/>
      <c r="G140" s="6"/>
      <c r="H140" s="6"/>
      <c r="I140" s="6"/>
    </row>
    <row r="141" spans="1:9" x14ac:dyDescent="0.25">
      <c r="A141" s="8">
        <v>139</v>
      </c>
      <c r="B141" s="2"/>
      <c r="C141" s="2"/>
      <c r="D141" s="2"/>
      <c r="E141" s="6"/>
      <c r="F141" s="6"/>
      <c r="G141" s="6"/>
      <c r="H141" s="6"/>
      <c r="I141" s="6"/>
    </row>
    <row r="142" spans="1:9" x14ac:dyDescent="0.25">
      <c r="A142" s="8">
        <v>140</v>
      </c>
      <c r="B142" s="2"/>
      <c r="C142" s="2"/>
      <c r="D142" s="2"/>
      <c r="E142" s="6"/>
      <c r="F142" s="6"/>
      <c r="G142" s="6"/>
      <c r="H142" s="6"/>
      <c r="I142" s="6"/>
    </row>
    <row r="143" spans="1:9" x14ac:dyDescent="0.25">
      <c r="A143" s="8">
        <v>141</v>
      </c>
      <c r="B143" s="2"/>
      <c r="C143" s="2"/>
      <c r="D143" s="2"/>
      <c r="E143" s="6"/>
      <c r="F143" s="6"/>
      <c r="G143" s="6"/>
      <c r="H143" s="6"/>
      <c r="I143" s="6"/>
    </row>
    <row r="144" spans="1:9" x14ac:dyDescent="0.25">
      <c r="A144" s="8">
        <v>142</v>
      </c>
      <c r="B144" s="2"/>
      <c r="C144" s="2"/>
      <c r="D144" s="2"/>
      <c r="E144" s="6"/>
      <c r="F144" s="6"/>
      <c r="G144" s="6"/>
      <c r="H144" s="6"/>
      <c r="I144" s="6"/>
    </row>
    <row r="145" spans="1:9" x14ac:dyDescent="0.25">
      <c r="A145" s="8">
        <v>143</v>
      </c>
      <c r="B145" s="2"/>
      <c r="C145" s="2"/>
      <c r="D145" s="2"/>
      <c r="E145" s="6"/>
      <c r="F145" s="6"/>
      <c r="G145" s="6"/>
      <c r="H145" s="6"/>
      <c r="I145" s="6"/>
    </row>
    <row r="146" spans="1:9" x14ac:dyDescent="0.25">
      <c r="A146" s="8">
        <v>144</v>
      </c>
      <c r="B146" s="2"/>
      <c r="C146" s="2"/>
      <c r="D146" s="2"/>
      <c r="E146" s="6"/>
      <c r="F146" s="6"/>
      <c r="G146" s="6"/>
      <c r="H146" s="6"/>
      <c r="I146" s="6"/>
    </row>
    <row r="147" spans="1:9" x14ac:dyDescent="0.25">
      <c r="A147" s="8">
        <v>145</v>
      </c>
      <c r="B147" s="2"/>
      <c r="C147" s="2"/>
      <c r="D147" s="2"/>
      <c r="E147" s="6"/>
      <c r="F147" s="6"/>
      <c r="G147" s="6"/>
      <c r="H147" s="6"/>
      <c r="I147" s="6"/>
    </row>
    <row r="148" spans="1:9" x14ac:dyDescent="0.25">
      <c r="A148" s="8">
        <v>146</v>
      </c>
      <c r="B148" s="2"/>
      <c r="C148" s="2"/>
      <c r="D148" s="2"/>
      <c r="E148" s="6"/>
      <c r="F148" s="6"/>
      <c r="G148" s="6"/>
      <c r="H148" s="6"/>
      <c r="I148" s="6"/>
    </row>
    <row r="149" spans="1:9" x14ac:dyDescent="0.25">
      <c r="A149" s="8">
        <v>147</v>
      </c>
      <c r="B149" s="2"/>
      <c r="C149" s="2"/>
      <c r="D149" s="2"/>
      <c r="E149" s="6"/>
      <c r="F149" s="6"/>
      <c r="G149" s="6"/>
      <c r="H149" s="6"/>
      <c r="I149" s="6"/>
    </row>
    <row r="150" spans="1:9" x14ac:dyDescent="0.25">
      <c r="A150" s="8">
        <v>148</v>
      </c>
      <c r="B150" s="2"/>
      <c r="C150" s="2"/>
      <c r="D150" s="2"/>
      <c r="E150" s="6"/>
      <c r="F150" s="6"/>
      <c r="G150" s="6"/>
      <c r="H150" s="6"/>
      <c r="I150" s="6"/>
    </row>
    <row r="151" spans="1:9" x14ac:dyDescent="0.25">
      <c r="A151" s="8">
        <v>149</v>
      </c>
      <c r="B151" s="2"/>
      <c r="C151" s="2"/>
      <c r="D151" s="2"/>
      <c r="E151" s="6"/>
      <c r="F151" s="6"/>
      <c r="G151" s="6"/>
      <c r="H151" s="6"/>
      <c r="I151" s="6"/>
    </row>
    <row r="152" spans="1:9" x14ac:dyDescent="0.25">
      <c r="A152" s="8">
        <v>150</v>
      </c>
      <c r="B152" s="2"/>
      <c r="C152" s="2"/>
      <c r="D152" s="2"/>
      <c r="E152" s="6"/>
      <c r="F152" s="6"/>
      <c r="G152" s="6"/>
      <c r="H152" s="6"/>
      <c r="I152" s="6"/>
    </row>
    <row r="153" spans="1:9" x14ac:dyDescent="0.25">
      <c r="A153" s="8">
        <v>151</v>
      </c>
      <c r="B153" s="2"/>
      <c r="C153" s="2"/>
      <c r="D153" s="2"/>
      <c r="E153" s="6"/>
      <c r="F153" s="6"/>
      <c r="G153" s="6"/>
      <c r="H153" s="6"/>
      <c r="I153" s="6"/>
    </row>
    <row r="154" spans="1:9" x14ac:dyDescent="0.25">
      <c r="A154" s="8">
        <v>152</v>
      </c>
      <c r="B154" s="2"/>
      <c r="C154" s="2"/>
      <c r="D154" s="2"/>
      <c r="E154" s="6"/>
      <c r="F154" s="6"/>
      <c r="G154" s="6"/>
      <c r="H154" s="6"/>
      <c r="I154" s="6"/>
    </row>
    <row r="155" spans="1:9" x14ac:dyDescent="0.25">
      <c r="A155" s="8">
        <v>153</v>
      </c>
      <c r="B155" s="2"/>
      <c r="C155" s="2"/>
      <c r="D155" s="2"/>
      <c r="E155" s="6"/>
      <c r="F155" s="6"/>
      <c r="G155" s="6"/>
      <c r="H155" s="6"/>
      <c r="I155" s="6"/>
    </row>
    <row r="156" spans="1:9" x14ac:dyDescent="0.25">
      <c r="A156" s="8">
        <v>154</v>
      </c>
      <c r="B156" s="2"/>
      <c r="C156" s="2"/>
      <c r="D156" s="2"/>
      <c r="E156" s="6"/>
      <c r="F156" s="6"/>
      <c r="G156" s="6"/>
      <c r="H156" s="6"/>
      <c r="I156" s="6"/>
    </row>
    <row r="157" spans="1:9" x14ac:dyDescent="0.25">
      <c r="A157" s="8">
        <v>155</v>
      </c>
      <c r="B157" s="2"/>
      <c r="C157" s="2"/>
      <c r="D157" s="2"/>
      <c r="E157" s="6"/>
      <c r="F157" s="6"/>
      <c r="G157" s="6"/>
      <c r="H157" s="6"/>
      <c r="I157" s="6"/>
    </row>
    <row r="158" spans="1:9" x14ac:dyDescent="0.25">
      <c r="A158" s="8">
        <v>156</v>
      </c>
      <c r="B158" s="2"/>
      <c r="C158" s="2"/>
      <c r="D158" s="2"/>
      <c r="E158" s="6"/>
      <c r="F158" s="6"/>
      <c r="G158" s="6"/>
      <c r="H158" s="6"/>
      <c r="I158" s="6"/>
    </row>
    <row r="159" spans="1:9" x14ac:dyDescent="0.25">
      <c r="A159" s="8">
        <v>157</v>
      </c>
      <c r="B159" s="2"/>
      <c r="C159" s="2"/>
      <c r="D159" s="2"/>
      <c r="E159" s="6"/>
      <c r="F159" s="6"/>
      <c r="G159" s="6"/>
      <c r="H159" s="6"/>
      <c r="I159" s="6"/>
    </row>
    <row r="160" spans="1:9" x14ac:dyDescent="0.25">
      <c r="A160" s="8">
        <v>158</v>
      </c>
      <c r="B160" s="2"/>
      <c r="C160" s="2"/>
      <c r="D160" s="2"/>
      <c r="E160" s="6"/>
      <c r="F160" s="6"/>
      <c r="G160" s="6"/>
      <c r="H160" s="6"/>
      <c r="I160" s="6"/>
    </row>
    <row r="161" spans="1:9" x14ac:dyDescent="0.25">
      <c r="A161" s="8">
        <v>159</v>
      </c>
      <c r="B161" s="2"/>
      <c r="C161" s="2"/>
      <c r="D161" s="2"/>
      <c r="E161" s="6"/>
      <c r="F161" s="6"/>
      <c r="G161" s="6"/>
      <c r="H161" s="6"/>
      <c r="I161" s="6"/>
    </row>
    <row r="162" spans="1:9" x14ac:dyDescent="0.25">
      <c r="A162" s="8">
        <v>160</v>
      </c>
      <c r="B162" s="2"/>
      <c r="C162" s="2"/>
      <c r="D162" s="2"/>
      <c r="E162" s="6"/>
      <c r="F162" s="6"/>
      <c r="G162" s="6"/>
      <c r="H162" s="6"/>
      <c r="I162" s="6"/>
    </row>
    <row r="163" spans="1:9" x14ac:dyDescent="0.25">
      <c r="A163" s="8">
        <v>161</v>
      </c>
      <c r="B163" s="2"/>
      <c r="C163" s="2"/>
      <c r="D163" s="2"/>
      <c r="E163" s="6"/>
      <c r="F163" s="6"/>
      <c r="G163" s="6"/>
      <c r="H163" s="6"/>
      <c r="I163" s="6"/>
    </row>
    <row r="164" spans="1:9" x14ac:dyDescent="0.25">
      <c r="A164" s="8">
        <v>162</v>
      </c>
      <c r="B164" s="2"/>
      <c r="C164" s="2"/>
      <c r="D164" s="2"/>
      <c r="E164" s="6"/>
      <c r="F164" s="6"/>
      <c r="G164" s="6"/>
      <c r="H164" s="6"/>
      <c r="I164" s="6"/>
    </row>
    <row r="165" spans="1:9" x14ac:dyDescent="0.25">
      <c r="A165" s="8">
        <v>163</v>
      </c>
      <c r="B165" s="2"/>
      <c r="C165" s="2"/>
      <c r="D165" s="2"/>
      <c r="E165" s="6"/>
      <c r="F165" s="6"/>
      <c r="G165" s="6"/>
      <c r="H165" s="6"/>
      <c r="I165" s="6"/>
    </row>
    <row r="166" spans="1:9" x14ac:dyDescent="0.25">
      <c r="A166" s="8">
        <v>164</v>
      </c>
      <c r="B166" s="2"/>
      <c r="C166" s="2"/>
      <c r="D166" s="2"/>
      <c r="E166" s="6"/>
      <c r="F166" s="6"/>
      <c r="G166" s="6"/>
      <c r="H166" s="6"/>
      <c r="I166" s="6"/>
    </row>
    <row r="167" spans="1:9" x14ac:dyDescent="0.25">
      <c r="A167" s="8">
        <v>165</v>
      </c>
      <c r="B167" s="2"/>
      <c r="C167" s="2"/>
      <c r="D167" s="2"/>
      <c r="E167" s="6"/>
      <c r="F167" s="6"/>
      <c r="G167" s="6"/>
      <c r="H167" s="6"/>
      <c r="I167" s="6"/>
    </row>
    <row r="168" spans="1:9" x14ac:dyDescent="0.25">
      <c r="A168" s="8">
        <v>166</v>
      </c>
      <c r="B168" s="2"/>
      <c r="C168" s="2"/>
      <c r="D168" s="2"/>
      <c r="E168" s="6"/>
      <c r="F168" s="6"/>
      <c r="G168" s="6"/>
      <c r="H168" s="6"/>
      <c r="I168" s="6"/>
    </row>
    <row r="169" spans="1:9" x14ac:dyDescent="0.25">
      <c r="A169" s="8">
        <v>167</v>
      </c>
      <c r="B169" s="2"/>
      <c r="C169" s="2"/>
      <c r="D169" s="2"/>
      <c r="E169" s="6"/>
      <c r="F169" s="6"/>
      <c r="G169" s="6"/>
      <c r="H169" s="6"/>
      <c r="I169" s="6"/>
    </row>
    <row r="170" spans="1:9" x14ac:dyDescent="0.25">
      <c r="A170" s="8">
        <v>168</v>
      </c>
      <c r="B170" s="2"/>
      <c r="C170" s="2"/>
      <c r="D170" s="2"/>
      <c r="E170" s="6"/>
      <c r="F170" s="6"/>
      <c r="G170" s="6"/>
      <c r="H170" s="6"/>
      <c r="I170" s="6"/>
    </row>
    <row r="171" spans="1:9" x14ac:dyDescent="0.25">
      <c r="A171" s="8">
        <v>169</v>
      </c>
      <c r="B171" s="2"/>
      <c r="C171" s="2"/>
      <c r="D171" s="2"/>
      <c r="E171" s="6"/>
      <c r="F171" s="6"/>
      <c r="G171" s="6"/>
      <c r="H171" s="6"/>
      <c r="I171" s="6"/>
    </row>
    <row r="172" spans="1:9" x14ac:dyDescent="0.25">
      <c r="A172" s="8">
        <v>170</v>
      </c>
      <c r="B172" s="2"/>
      <c r="C172" s="2"/>
      <c r="D172" s="2"/>
      <c r="E172" s="6"/>
      <c r="F172" s="6"/>
      <c r="G172" s="6"/>
      <c r="H172" s="6"/>
      <c r="I172" s="6"/>
    </row>
    <row r="173" spans="1:9" x14ac:dyDescent="0.25">
      <c r="A173" s="8">
        <v>171</v>
      </c>
      <c r="B173" s="2"/>
      <c r="C173" s="2"/>
      <c r="D173" s="2"/>
      <c r="E173" s="6"/>
      <c r="F173" s="6"/>
      <c r="G173" s="6"/>
      <c r="H173" s="6"/>
      <c r="I173" s="6"/>
    </row>
    <row r="174" spans="1:9" x14ac:dyDescent="0.25">
      <c r="A174" s="8">
        <v>172</v>
      </c>
      <c r="B174" s="2"/>
      <c r="C174" s="2"/>
      <c r="D174" s="2"/>
      <c r="E174" s="6"/>
      <c r="F174" s="6"/>
      <c r="G174" s="6"/>
      <c r="H174" s="6"/>
      <c r="I174" s="6"/>
    </row>
    <row r="175" spans="1:9" x14ac:dyDescent="0.25">
      <c r="A175" s="8">
        <v>173</v>
      </c>
      <c r="B175" s="2"/>
      <c r="C175" s="2"/>
      <c r="D175" s="2"/>
      <c r="E175" s="6"/>
      <c r="F175" s="6"/>
      <c r="G175" s="6"/>
      <c r="H175" s="6"/>
      <c r="I175" s="6"/>
    </row>
    <row r="176" spans="1:9" x14ac:dyDescent="0.25">
      <c r="A176" s="8">
        <v>174</v>
      </c>
      <c r="B176" s="2"/>
      <c r="C176" s="2"/>
      <c r="D176" s="2"/>
      <c r="E176" s="6"/>
      <c r="F176" s="6"/>
      <c r="G176" s="6"/>
      <c r="H176" s="6"/>
      <c r="I176" s="6"/>
    </row>
    <row r="177" spans="1:9" x14ac:dyDescent="0.25">
      <c r="A177" s="8">
        <v>175</v>
      </c>
      <c r="B177" s="2"/>
      <c r="C177" s="2"/>
      <c r="D177" s="2"/>
      <c r="E177" s="6"/>
      <c r="F177" s="6"/>
      <c r="G177" s="6"/>
      <c r="H177" s="6"/>
      <c r="I177" s="6"/>
    </row>
    <row r="178" spans="1:9" x14ac:dyDescent="0.25">
      <c r="A178" s="8">
        <v>176</v>
      </c>
      <c r="B178" s="2"/>
      <c r="C178" s="2"/>
      <c r="D178" s="2"/>
      <c r="E178" s="6"/>
      <c r="F178" s="6"/>
      <c r="G178" s="6"/>
      <c r="H178" s="6"/>
      <c r="I178" s="6"/>
    </row>
    <row r="179" spans="1:9" x14ac:dyDescent="0.25">
      <c r="A179" s="8">
        <v>177</v>
      </c>
      <c r="B179" s="2"/>
      <c r="C179" s="2"/>
      <c r="D179" s="2"/>
      <c r="E179" s="6"/>
      <c r="F179" s="6"/>
      <c r="G179" s="6"/>
      <c r="H179" s="6"/>
      <c r="I179" s="6"/>
    </row>
    <row r="180" spans="1:9" x14ac:dyDescent="0.25">
      <c r="A180" s="8">
        <v>178</v>
      </c>
      <c r="B180" s="2"/>
      <c r="C180" s="2"/>
      <c r="D180" s="2"/>
      <c r="E180" s="6"/>
      <c r="F180" s="6"/>
      <c r="G180" s="6"/>
      <c r="H180" s="6"/>
      <c r="I180" s="6"/>
    </row>
    <row r="181" spans="1:9" x14ac:dyDescent="0.25">
      <c r="A181" s="8">
        <v>179</v>
      </c>
      <c r="B181" s="2"/>
      <c r="C181" s="2"/>
      <c r="D181" s="2"/>
      <c r="E181" s="6"/>
      <c r="F181" s="6"/>
      <c r="G181" s="6"/>
      <c r="H181" s="6"/>
      <c r="I181" s="6"/>
    </row>
    <row r="182" spans="1:9" x14ac:dyDescent="0.25">
      <c r="A182" s="8">
        <v>180</v>
      </c>
      <c r="B182" s="2"/>
      <c r="C182" s="2"/>
      <c r="D182" s="2"/>
      <c r="E182" s="6"/>
      <c r="F182" s="6"/>
      <c r="G182" s="6"/>
      <c r="H182" s="6"/>
      <c r="I182" s="6"/>
    </row>
    <row r="183" spans="1:9" x14ac:dyDescent="0.25">
      <c r="A183" s="8">
        <v>181</v>
      </c>
      <c r="B183" s="2"/>
      <c r="C183" s="2"/>
      <c r="D183" s="2"/>
      <c r="E183" s="6"/>
      <c r="F183" s="6"/>
      <c r="G183" s="6"/>
      <c r="H183" s="6"/>
      <c r="I183" s="6"/>
    </row>
    <row r="184" spans="1:9" x14ac:dyDescent="0.25">
      <c r="A184" s="8">
        <v>182</v>
      </c>
      <c r="B184" s="2"/>
      <c r="C184" s="2"/>
      <c r="D184" s="2"/>
      <c r="E184" s="6"/>
      <c r="F184" s="6"/>
      <c r="G184" s="6"/>
      <c r="H184" s="6"/>
      <c r="I184" s="6"/>
    </row>
    <row r="185" spans="1:9" x14ac:dyDescent="0.25">
      <c r="A185" s="8">
        <v>183</v>
      </c>
      <c r="B185" s="2"/>
      <c r="C185" s="2"/>
      <c r="D185" s="2"/>
      <c r="E185" s="6"/>
      <c r="F185" s="6"/>
      <c r="G185" s="6"/>
      <c r="H185" s="6"/>
      <c r="I185" s="6"/>
    </row>
    <row r="186" spans="1:9" x14ac:dyDescent="0.25">
      <c r="A186" s="8">
        <v>184</v>
      </c>
      <c r="B186" s="2"/>
      <c r="C186" s="2"/>
      <c r="D186" s="2"/>
      <c r="E186" s="6"/>
      <c r="F186" s="6"/>
      <c r="G186" s="6"/>
      <c r="H186" s="6"/>
      <c r="I186" s="6"/>
    </row>
    <row r="187" spans="1:9" x14ac:dyDescent="0.25">
      <c r="A187" s="8">
        <v>185</v>
      </c>
      <c r="B187" s="2"/>
      <c r="C187" s="2"/>
      <c r="D187" s="2"/>
      <c r="E187" s="6"/>
      <c r="F187" s="6"/>
      <c r="G187" s="6"/>
      <c r="H187" s="6"/>
      <c r="I187" s="6"/>
    </row>
    <row r="188" spans="1:9" x14ac:dyDescent="0.25">
      <c r="A188" s="8">
        <v>186</v>
      </c>
      <c r="B188" s="2"/>
      <c r="C188" s="2"/>
      <c r="D188" s="2"/>
      <c r="E188" s="6"/>
      <c r="F188" s="6"/>
      <c r="G188" s="6"/>
      <c r="H188" s="6"/>
      <c r="I188" s="6"/>
    </row>
    <row r="189" spans="1:9" x14ac:dyDescent="0.25">
      <c r="A189" s="8">
        <v>187</v>
      </c>
      <c r="B189" s="2"/>
      <c r="C189" s="2"/>
      <c r="D189" s="2"/>
      <c r="E189" s="6"/>
      <c r="F189" s="6"/>
      <c r="G189" s="6"/>
      <c r="H189" s="6"/>
      <c r="I189" s="6"/>
    </row>
    <row r="190" spans="1:9" x14ac:dyDescent="0.25">
      <c r="A190" s="8">
        <v>188</v>
      </c>
      <c r="B190" s="2"/>
      <c r="C190" s="2"/>
      <c r="D190" s="2"/>
      <c r="E190" s="6"/>
      <c r="F190" s="6"/>
      <c r="G190" s="6"/>
      <c r="H190" s="6"/>
      <c r="I190" s="6"/>
    </row>
    <row r="191" spans="1:9" x14ac:dyDescent="0.25">
      <c r="A191" s="8">
        <v>189</v>
      </c>
      <c r="B191" s="2"/>
      <c r="C191" s="2"/>
      <c r="D191" s="2"/>
      <c r="E191" s="6"/>
      <c r="F191" s="6"/>
      <c r="G191" s="6"/>
      <c r="H191" s="6"/>
      <c r="I191" s="6"/>
    </row>
    <row r="192" spans="1:9" x14ac:dyDescent="0.25">
      <c r="A192" s="8">
        <v>190</v>
      </c>
      <c r="B192" s="2"/>
      <c r="C192" s="2"/>
      <c r="D192" s="2"/>
      <c r="E192" s="6"/>
      <c r="F192" s="6"/>
      <c r="G192" s="6"/>
      <c r="H192" s="6"/>
      <c r="I192" s="6"/>
    </row>
    <row r="193" spans="1:9" x14ac:dyDescent="0.25">
      <c r="A193" s="8">
        <v>191</v>
      </c>
      <c r="B193" s="2"/>
      <c r="C193" s="2"/>
      <c r="D193" s="2"/>
      <c r="E193" s="6"/>
      <c r="F193" s="6"/>
      <c r="G193" s="6"/>
      <c r="H193" s="6"/>
      <c r="I193" s="6"/>
    </row>
    <row r="194" spans="1:9" x14ac:dyDescent="0.25">
      <c r="A194" s="8">
        <v>192</v>
      </c>
      <c r="B194" s="2"/>
      <c r="C194" s="2"/>
      <c r="D194" s="2"/>
      <c r="E194" s="6"/>
      <c r="F194" s="6"/>
      <c r="G194" s="6"/>
      <c r="H194" s="6"/>
      <c r="I194" s="6"/>
    </row>
    <row r="195" spans="1:9" x14ac:dyDescent="0.25">
      <c r="A195" s="8">
        <v>193</v>
      </c>
      <c r="B195" s="2"/>
      <c r="C195" s="2"/>
      <c r="D195" s="2"/>
      <c r="E195" s="6"/>
      <c r="F195" s="6"/>
      <c r="G195" s="6"/>
      <c r="H195" s="6"/>
      <c r="I195" s="6"/>
    </row>
    <row r="196" spans="1:9" x14ac:dyDescent="0.25">
      <c r="A196" s="8">
        <v>194</v>
      </c>
      <c r="B196" s="2"/>
      <c r="C196" s="2"/>
      <c r="D196" s="2"/>
      <c r="E196" s="6"/>
      <c r="F196" s="6"/>
      <c r="G196" s="6"/>
      <c r="H196" s="6"/>
      <c r="I196" s="6"/>
    </row>
    <row r="197" spans="1:9" x14ac:dyDescent="0.25">
      <c r="A197" s="8">
        <v>195</v>
      </c>
      <c r="B197" s="2"/>
      <c r="C197" s="2"/>
      <c r="D197" s="2"/>
      <c r="E197" s="6"/>
      <c r="F197" s="6"/>
      <c r="G197" s="6"/>
      <c r="H197" s="6"/>
      <c r="I197" s="6"/>
    </row>
    <row r="198" spans="1:9" x14ac:dyDescent="0.25">
      <c r="A198" s="8">
        <v>196</v>
      </c>
      <c r="B198" s="2"/>
      <c r="C198" s="2"/>
      <c r="D198" s="2"/>
      <c r="E198" s="6"/>
      <c r="F198" s="6"/>
      <c r="G198" s="6"/>
      <c r="H198" s="6"/>
      <c r="I198" s="6"/>
    </row>
    <row r="199" spans="1:9" x14ac:dyDescent="0.25">
      <c r="A199" s="8">
        <v>197</v>
      </c>
      <c r="B199" s="2"/>
      <c r="C199" s="2"/>
      <c r="D199" s="2"/>
      <c r="E199" s="6"/>
      <c r="F199" s="6"/>
      <c r="G199" s="6"/>
      <c r="H199" s="6"/>
      <c r="I199" s="6"/>
    </row>
    <row r="200" spans="1:9" x14ac:dyDescent="0.25">
      <c r="A200" s="8">
        <v>198</v>
      </c>
      <c r="B200" s="2"/>
      <c r="C200" s="2"/>
      <c r="D200" s="2"/>
      <c r="E200" s="6"/>
      <c r="F200" s="6"/>
      <c r="G200" s="6"/>
      <c r="H200" s="6"/>
      <c r="I200" s="6"/>
    </row>
    <row r="201" spans="1:9" x14ac:dyDescent="0.25">
      <c r="A201" s="8">
        <v>199</v>
      </c>
    </row>
    <row r="202" spans="1:9" x14ac:dyDescent="0.25">
      <c r="A202" s="8">
        <v>200</v>
      </c>
    </row>
    <row r="203" spans="1:9" x14ac:dyDescent="0.25">
      <c r="A203" s="1">
        <v>179</v>
      </c>
    </row>
    <row r="204" spans="1:9" x14ac:dyDescent="0.25">
      <c r="A204" s="1">
        <v>180</v>
      </c>
    </row>
    <row r="205" spans="1:9" x14ac:dyDescent="0.25">
      <c r="A205" s="1">
        <v>181</v>
      </c>
    </row>
    <row r="206" spans="1:9" x14ac:dyDescent="0.25">
      <c r="A206" s="1">
        <v>182</v>
      </c>
    </row>
    <row r="207" spans="1:9" x14ac:dyDescent="0.25">
      <c r="A207" s="1">
        <v>183</v>
      </c>
    </row>
    <row r="208" spans="1:9" x14ac:dyDescent="0.25">
      <c r="A208" s="1">
        <v>184</v>
      </c>
    </row>
    <row r="209" spans="1:1" x14ac:dyDescent="0.25">
      <c r="A209" s="1">
        <v>185</v>
      </c>
    </row>
    <row r="210" spans="1:1" x14ac:dyDescent="0.25">
      <c r="A210" s="1">
        <v>186</v>
      </c>
    </row>
    <row r="211" spans="1:1" x14ac:dyDescent="0.25">
      <c r="A211" s="1">
        <v>187</v>
      </c>
    </row>
    <row r="212" spans="1:1" x14ac:dyDescent="0.25">
      <c r="A212" s="1">
        <v>188</v>
      </c>
    </row>
    <row r="213" spans="1:1" x14ac:dyDescent="0.25">
      <c r="A213" s="1">
        <v>189</v>
      </c>
    </row>
    <row r="214" spans="1:1" x14ac:dyDescent="0.25">
      <c r="A214" s="1">
        <v>190</v>
      </c>
    </row>
    <row r="215" spans="1:1" x14ac:dyDescent="0.25">
      <c r="A215" s="1">
        <v>191</v>
      </c>
    </row>
    <row r="216" spans="1:1" x14ac:dyDescent="0.25">
      <c r="A216" s="1">
        <v>192</v>
      </c>
    </row>
    <row r="217" spans="1:1" x14ac:dyDescent="0.25">
      <c r="A217" s="1">
        <v>193</v>
      </c>
    </row>
    <row r="218" spans="1:1" x14ac:dyDescent="0.25">
      <c r="A218" s="1">
        <v>194</v>
      </c>
    </row>
    <row r="219" spans="1:1" x14ac:dyDescent="0.25">
      <c r="A219" s="1">
        <v>195</v>
      </c>
    </row>
    <row r="220" spans="1:1" x14ac:dyDescent="0.25">
      <c r="A220" s="1">
        <v>196</v>
      </c>
    </row>
    <row r="221" spans="1:1" x14ac:dyDescent="0.25">
      <c r="A221" s="1">
        <v>197</v>
      </c>
    </row>
    <row r="222" spans="1:1" x14ac:dyDescent="0.25">
      <c r="A222" s="1">
        <v>198</v>
      </c>
    </row>
    <row r="223" spans="1:1" x14ac:dyDescent="0.25">
      <c r="A223" s="1">
        <v>199</v>
      </c>
    </row>
    <row r="224" spans="1:1" x14ac:dyDescent="0.25">
      <c r="A224" s="1">
        <v>200</v>
      </c>
    </row>
    <row r="225" spans="1:1" x14ac:dyDescent="0.25">
      <c r="A225" s="1">
        <v>201</v>
      </c>
    </row>
    <row r="226" spans="1:1" x14ac:dyDescent="0.25">
      <c r="A226" s="1">
        <v>202</v>
      </c>
    </row>
    <row r="227" spans="1:1" x14ac:dyDescent="0.25">
      <c r="A227" s="1">
        <v>203</v>
      </c>
    </row>
    <row r="228" spans="1:1" x14ac:dyDescent="0.25">
      <c r="A228" s="1">
        <v>204</v>
      </c>
    </row>
    <row r="229" spans="1:1" x14ac:dyDescent="0.25">
      <c r="A229" s="1">
        <v>205</v>
      </c>
    </row>
    <row r="230" spans="1:1" x14ac:dyDescent="0.25">
      <c r="A230" s="1">
        <v>206</v>
      </c>
    </row>
    <row r="231" spans="1:1" x14ac:dyDescent="0.25">
      <c r="A231" s="1">
        <v>207</v>
      </c>
    </row>
    <row r="232" spans="1:1" x14ac:dyDescent="0.25">
      <c r="A232" s="1">
        <v>208</v>
      </c>
    </row>
    <row r="233" spans="1:1" x14ac:dyDescent="0.25">
      <c r="A233" s="1">
        <v>209</v>
      </c>
    </row>
    <row r="234" spans="1:1" x14ac:dyDescent="0.25">
      <c r="A234" s="1">
        <v>210</v>
      </c>
    </row>
    <row r="235" spans="1:1" x14ac:dyDescent="0.25">
      <c r="A235" s="1">
        <v>211</v>
      </c>
    </row>
    <row r="236" spans="1:1" x14ac:dyDescent="0.25">
      <c r="A236" s="1">
        <v>212</v>
      </c>
    </row>
    <row r="237" spans="1:1" x14ac:dyDescent="0.25">
      <c r="A237" s="1">
        <v>213</v>
      </c>
    </row>
    <row r="238" spans="1:1" x14ac:dyDescent="0.25">
      <c r="A238" s="1">
        <v>214</v>
      </c>
    </row>
    <row r="239" spans="1:1" x14ac:dyDescent="0.25">
      <c r="A239" s="1">
        <v>215</v>
      </c>
    </row>
    <row r="240" spans="1:1" x14ac:dyDescent="0.25">
      <c r="A240" s="1">
        <v>216</v>
      </c>
    </row>
  </sheetData>
  <mergeCells count="32">
    <mergeCell ref="B81:B82"/>
    <mergeCell ref="B91:B92"/>
    <mergeCell ref="B86:B87"/>
    <mergeCell ref="B64:B65"/>
    <mergeCell ref="B62:B63"/>
    <mergeCell ref="B67:B68"/>
    <mergeCell ref="B74:B76"/>
    <mergeCell ref="B77:B79"/>
    <mergeCell ref="B71:B73"/>
    <mergeCell ref="B35:B36"/>
    <mergeCell ref="B49:B51"/>
    <mergeCell ref="B41:B42"/>
    <mergeCell ref="B57:B58"/>
    <mergeCell ref="B59:B60"/>
    <mergeCell ref="B52:B53"/>
    <mergeCell ref="B39:B40"/>
    <mergeCell ref="B20:B21"/>
    <mergeCell ref="B18:B19"/>
    <mergeCell ref="B16:B17"/>
    <mergeCell ref="B13:B14"/>
    <mergeCell ref="B22:B23"/>
    <mergeCell ref="A1:A2"/>
    <mergeCell ref="H1:H2"/>
    <mergeCell ref="B7:B8"/>
    <mergeCell ref="J1:U1"/>
    <mergeCell ref="B1:B2"/>
    <mergeCell ref="C1:C2"/>
    <mergeCell ref="D1:D2"/>
    <mergeCell ref="E1:E2"/>
    <mergeCell ref="F1:F2"/>
    <mergeCell ref="G1:G2"/>
    <mergeCell ref="I1:I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DEUDAS</vt:lpstr>
      <vt:lpstr>RETRIBUTIVOS</vt:lpstr>
      <vt:lpstr>COMPARTIDOS</vt:lpstr>
      <vt:lpstr>PATENTE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2025-11-03T12:35:47Z</dcterms:modified>
</cp:coreProperties>
</file>